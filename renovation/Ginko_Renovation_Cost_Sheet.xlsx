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 &amp; Notes" sheetId="2" state="visible" r:id="rId4"/>
    <sheet name="Kitchen" sheetId="3" state="visible" r:id="rId5"/>
    <sheet name="Living - Great Room" sheetId="4" state="visible" r:id="rId6"/>
    <sheet name="Dining Room" sheetId="5" state="visible" r:id="rId7"/>
    <sheet name="Entry - Foyer &amp; Stairs" sheetId="6" state="visible" r:id="rId8"/>
    <sheet name="Bathroom - Main (1st flr)" sheetId="7" state="visible" r:id="rId9"/>
    <sheet name="Bathroom - Upstairs (clawfoot)" sheetId="8" state="visible" r:id="rId10"/>
    <sheet name="Bedroom 1 - Kids Loft" sheetId="9" state="visible" r:id="rId11"/>
    <sheet name="Bedroom 2 - Pine" sheetId="10" state="visible" r:id="rId12"/>
    <sheet name="General - Whole-Hous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<sst xmlns="http://schemas.openxmlformats.org/spreadsheetml/2006/main" count="334" uniqueCount="130">
  <si>
    <t xml:space="preserve">Renovation Cost Estimate - by Room</t>
  </si>
  <si>
    <t xml:space="preserve">Brattleboro, VT  -  Mid-range finish tier  -  Prepared June 2026</t>
  </si>
  <si>
    <t xml:space="preserve">Planning estimate from listing photos + renovation renders. Material (COGS) lines link to current retail references; labor reflects VT trade rates. Verify with contractor bids.</t>
  </si>
  <si>
    <t xml:space="preserve">Room</t>
  </si>
  <si>
    <t xml:space="preserve">COGS (materials)</t>
  </si>
  <si>
    <t xml:space="preserve">Labor</t>
  </si>
  <si>
    <t xml:space="preserve">Room Total</t>
  </si>
  <si>
    <t xml:space="preserve">Kitchen</t>
  </si>
  <si>
    <t xml:space="preserve">Living / Great Room</t>
  </si>
  <si>
    <t xml:space="preserve">Dining Room</t>
  </si>
  <si>
    <t xml:space="preserve">Entry / Foyer &amp; Stairs</t>
  </si>
  <si>
    <t xml:space="preserve">Bathroom - Main (1st flr)</t>
  </si>
  <si>
    <t xml:space="preserve">Bathroom - Upstairs (clawfoot)</t>
  </si>
  <si>
    <t xml:space="preserve">Bedroom 1 - Kids Loft</t>
  </si>
  <si>
    <t xml:space="preserve">Bedroom 2 - Pine</t>
  </si>
  <si>
    <t xml:space="preserve">General / Whole-House</t>
  </si>
  <si>
    <t xml:space="preserve">SUBTOTAL (hard costs)</t>
  </si>
  <si>
    <t xml:space="preserve">GC overhead &amp; profit (15% of subtotal)</t>
  </si>
  <si>
    <t xml:space="preserve">soft cost</t>
  </si>
  <si>
    <t xml:space="preserve">Contingency (12% of subtotal + OH&amp;P)</t>
  </si>
  <si>
    <t xml:space="preserve">ESTIMATED PROJECT TOTAL</t>
  </si>
  <si>
    <t xml:space="preserve">Hard-cost split:</t>
  </si>
  <si>
    <t xml:space="preserve">Total materials (COGS)</t>
  </si>
  <si>
    <t xml:space="preserve">Total labor</t>
  </si>
  <si>
    <t xml:space="preserve">Assumptions &amp; Methodology</t>
  </si>
  <si>
    <t xml:space="preserve">Finish tier: Mid-range - quality stock/semi-custom materials with professional contractor labor, matching the renovation renders (butcher block, tile, mini-split heat pumps, refinished wood floors, pine paneling).</t>
  </si>
  <si>
    <t xml:space="preserve">Location: Brattleboro, Vermont. Labor reflects current VT trade wage rates (electricians ~$33-35/hr, plumbers ~$32-38/hr base; loaded contractor billing rates run materially higher and are embedded in the labor figures).</t>
  </si>
  <si>
    <t xml:space="preserve">Square-footage assumptions (estimated from photos - confirm with measurements):</t>
  </si>
  <si>
    <t xml:space="preserve">   Kitchen ~180 sf  /  Living-Great Room ~320 sf  /  Dining ~180 sf  /  Entry-Foyer ~120 sf</t>
  </si>
  <si>
    <t xml:space="preserve">   Main bath ~70 sf  /  Upstairs bath ~90 sf  /  Bedroom 1 ~180 sf  /  Bedroom 2 ~180 sf  /  Ceilings for popcorn removal ~1,100 sf</t>
  </si>
  <si>
    <t xml:space="preserve">Scope captured from renders: full kitchen gut (semi-custom cabinets, maple butcher block, fireclay farmhouse sink, tile backsplash, open shelving, peninsula, new stainless appliances); two bathroom remodels (main bath - terracotta floor, tiled tub surround, pine wainscot, new vanity; upstairs bath - cast-iron clawfoot tub, hex terracotta floor, brass fixtures, wood vanity); pine tongue-and-groove paneling in both upstairs bedrooms; refinished wide-plank wood floors throughout; slate-tiled entry with rebuilt staircase; cleaned/stained exposed beams + recessed lighting in the great room; three mini-split heat pump heads; whole-house popcorn ceiling removal and repaint.</t>
  </si>
  <si>
    <t xml:space="preserve">COGS = cost of goods / materials. Every material line links to a current retail reference (mostly Home Depot) so prices can be re-checked. Labor totals are a separate column on each line and roll up separately on the Summary tab.</t>
  </si>
  <si>
    <t xml:space="preserve">GC overhead &amp; profit (15%) and contingency (12%) are added on the Summary tab. For an older Vermont home, budget a 10-20% contingency for hidden conditions behind walls.</t>
  </si>
  <si>
    <t xml:space="preserve">This is a planning-level estimate, NOT a contractor bid. Actual costs vary with material selections, hidden conditions (wiring/knob-and-tube, plumbing, insulation, water damage, structural), permit requirements, and contractor availability. Get 2-3 local bids before committing a budget.</t>
  </si>
  <si>
    <t xml:space="preserve">Mid-range finish tier - Brattleboro, VT - planning estimate</t>
  </si>
  <si>
    <t xml:space="preserve">Item / Scope</t>
  </si>
  <si>
    <t xml:space="preserve">Qty</t>
  </si>
  <si>
    <t xml:space="preserve">Unit</t>
  </si>
  <si>
    <t xml:space="preserve">COGS $/unit</t>
  </si>
  <si>
    <t xml:space="preserve">COGS Total</t>
  </si>
  <si>
    <t xml:space="preserve">Labor Total</t>
  </si>
  <si>
    <t xml:space="preserve">Material Reference (link)</t>
  </si>
  <si>
    <t xml:space="preserve">Demo existing kitchen (cabinets, counters, backsplash)</t>
  </si>
  <si>
    <t xml:space="preserve">ls</t>
  </si>
  <si>
    <t xml:space="preserve">ZipRecruiter – VT Plumber Rate</t>
  </si>
  <si>
    <t xml:space="preserve">Semi-custom base &amp; wall cabinets (shaker, natural)</t>
  </si>
  <si>
    <t xml:space="preserve">lin ft</t>
  </si>
  <si>
    <t xml:space="preserve">Home Depot – Kitchen Cabinets</t>
  </si>
  <si>
    <t xml:space="preserve">Open wood shelving + brackets</t>
  </si>
  <si>
    <t xml:space="preserve">shelf</t>
  </si>
  <si>
    <t xml:space="preserve">Home Depot – Dimensional Lumber &amp; Trim</t>
  </si>
  <si>
    <t xml:space="preserve">Butcher block countertop (maple)</t>
  </si>
  <si>
    <t xml:space="preserve">sq ft</t>
  </si>
  <si>
    <t xml:space="preserve">Home Depot – Maple Butcher Block</t>
  </si>
  <si>
    <t xml:space="preserve">Fireclay farmhouse apron sink, 30 in.</t>
  </si>
  <si>
    <t xml:space="preserve">ea</t>
  </si>
  <si>
    <t xml:space="preserve">Home Depot – HOROW 30in Fireclay Farmhouse Sink</t>
  </si>
  <si>
    <t xml:space="preserve">Pull-down kitchen faucet</t>
  </si>
  <si>
    <t xml:space="preserve">Home Depot – Kitchen Faucets</t>
  </si>
  <si>
    <t xml:space="preserve">Tile backsplash (glazed ceramic / zellige look)</t>
  </si>
  <si>
    <t xml:space="preserve">Home Depot – Ceramic Wall Tile</t>
  </si>
  <si>
    <t xml:space="preserve">Stainless appliance package (range, dishwasher, fridge)</t>
  </si>
  <si>
    <t xml:space="preserve">set</t>
  </si>
  <si>
    <t xml:space="preserve">Home Depot – SS Electric Appliance Package</t>
  </si>
  <si>
    <t xml:space="preserve">Track + flush-mount lighting, recessed cans</t>
  </si>
  <si>
    <t xml:space="preserve">Home Depot – Lighting Fixtures</t>
  </si>
  <si>
    <t xml:space="preserve">Plumbing reconnect (sink + dishwasher)</t>
  </si>
  <si>
    <t xml:space="preserve">Refinish wood floor</t>
  </si>
  <si>
    <t xml:space="preserve">Angi – Hardwood Refinishing Cost</t>
  </si>
  <si>
    <t xml:space="preserve">Paint walls &amp; ceiling</t>
  </si>
  <si>
    <t xml:space="preserve">Home Depot – Interior Paint</t>
  </si>
  <si>
    <t xml:space="preserve">ROOM SUBTOTAL</t>
  </si>
  <si>
    <t xml:space="preserve">ROOM TOTAL (COGS + Labor)</t>
  </si>
  <si>
    <t xml:space="preserve">Refinish wide-plank pine floor</t>
  </si>
  <si>
    <t xml:space="preserve">Clean &amp; stain exposed ceiling beams</t>
  </si>
  <si>
    <t xml:space="preserve">Recessed LED cans (retrofit)</t>
  </si>
  <si>
    <t xml:space="preserve">Angi – Recessed Lighting Cost</t>
  </si>
  <si>
    <t xml:space="preserve">Mini-split heat pump head (12k BTU) + install</t>
  </si>
  <si>
    <t xml:space="preserve">Home Depot – Pioneer 12k BTU Mini-Split Heat Pump</t>
  </si>
  <si>
    <t xml:space="preserve">Reset wood stove + new stovepipe section</t>
  </si>
  <si>
    <t xml:space="preserve">Home Depot – Stove Pipe</t>
  </si>
  <si>
    <t xml:space="preserve">Pine tongue &amp; groove wall paneling</t>
  </si>
  <si>
    <t xml:space="preserve">Home Depot – Pine Tongue &amp; Groove Paneling</t>
  </si>
  <si>
    <t xml:space="preserve">Window casing/trim (pine) + curtain rod</t>
  </si>
  <si>
    <t xml:space="preserve">Paint ceiling</t>
  </si>
  <si>
    <t xml:space="preserve">Slate tile floor (material + install)</t>
  </si>
  <si>
    <t xml:space="preserve">Home Depot – Slate Floor Tile</t>
  </si>
  <si>
    <t xml:space="preserve">Rebuilt wood staircase + railing</t>
  </si>
  <si>
    <t xml:space="preserve">Sliding-door trim refresh</t>
  </si>
  <si>
    <t xml:space="preserve">Demo + backer board / subfloor prep</t>
  </si>
  <si>
    <t xml:space="preserve">Terracotta / saltillo floor tile</t>
  </si>
  <si>
    <t xml:space="preserve">Home Depot – Saltillo / Terracotta Tile</t>
  </si>
  <si>
    <t xml:space="preserve">Reglaze existing alcove tub</t>
  </si>
  <si>
    <t xml:space="preserve">Tile tub surround</t>
  </si>
  <si>
    <t xml:space="preserve">Pine wainscoting</t>
  </si>
  <si>
    <t xml:space="preserve">Vanity w/ top, 36 in.</t>
  </si>
  <si>
    <t xml:space="preserve">Home Depot – Bathroom Vanities w/ Tops</t>
  </si>
  <si>
    <t xml:space="preserve">Toilet</t>
  </si>
  <si>
    <t xml:space="preserve">Home Depot – Toilets</t>
  </si>
  <si>
    <t xml:space="preserve">Tub/shower valve + faucet trim (brass)</t>
  </si>
  <si>
    <t xml:space="preserve">Home Depot – Bathroom / Shower Faucets</t>
  </si>
  <si>
    <t xml:space="preserve">Vanity + flush-mount lighting</t>
  </si>
  <si>
    <t xml:space="preserve">Plumbing rough adjustments</t>
  </si>
  <si>
    <t xml:space="preserve">Paint</t>
  </si>
  <si>
    <t xml:space="preserve">Demo + subfloor build-up (exposed subfloor)</t>
  </si>
  <si>
    <t xml:space="preserve">Hex terracotta floor tile</t>
  </si>
  <si>
    <t xml:space="preserve">Cast-iron clawfoot soaking tub</t>
  </si>
  <si>
    <t xml:space="preserve">Home Depot – Cast Iron Clawfoot Tubs</t>
  </si>
  <si>
    <t xml:space="preserve">Floor-mount tub filler (brass)</t>
  </si>
  <si>
    <t xml:space="preserve">Home Depot – Freestanding Tub Faucets</t>
  </si>
  <si>
    <t xml:space="preserve">Tile wainscot + tub wall</t>
  </si>
  <si>
    <t xml:space="preserve">Wood vanity w/ top + sink + faucet</t>
  </si>
  <si>
    <t xml:space="preserve">Brass wall sconces + skylight trim</t>
  </si>
  <si>
    <t xml:space="preserve">Plumbing rough (relocate for clawfoot + filler)</t>
  </si>
  <si>
    <t xml:space="preserve">Pine T&amp;G paneling (walls + ceiling)</t>
  </si>
  <si>
    <t xml:space="preserve">Refinish pine floor</t>
  </si>
  <si>
    <t xml:space="preserve">Loft refresh: ladder, rail, storage cubbies</t>
  </si>
  <si>
    <t xml:space="preserve">Reseal / trim skylight</t>
  </si>
  <si>
    <t xml:space="preserve">Lighting + added outlets</t>
  </si>
  <si>
    <t xml:space="preserve">Closet door (pine) refit</t>
  </si>
  <si>
    <t xml:space="preserve">Window casing/trim (pine)</t>
  </si>
  <si>
    <t xml:space="preserve">Building permits &amp; fees (Town of Brattleboro)</t>
  </si>
  <si>
    <t xml:space="preserve">Town of Brattleboro – Permits</t>
  </si>
  <si>
    <t xml:space="preserve">Demolition &amp; debris haul (3 dumpsters)</t>
  </si>
  <si>
    <t xml:space="preserve">Angi – Popcorn Ceiling Removal Cost</t>
  </si>
  <si>
    <t xml:space="preserve">Electrical panel / circuit upgrades</t>
  </si>
  <si>
    <t xml:space="preserve">ZipRecruiter – VT Electrician Rate</t>
  </si>
  <si>
    <t xml:space="preserve">Popcorn ceiling removal &amp; skim coat</t>
  </si>
  <si>
    <t xml:space="preserve">Misc fasteners, adhesives, consumables</t>
  </si>
  <si>
    <t xml:space="preserve">Final cleaning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</si>
</sst>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9E8E4"/>
        <bgColor rgb="FFCCFFFF"/>
      </patternFill>
    </fill>
    <fill>
      <patternFill patternType="solid">
        <fgColor rgb="FFF2D9A0"/>
        <bgColor rgb="FFD9E8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4"/>
      <rgbColor rgb="FFFFFF99"/>
      <rgbColor rgb="FF99CCFF"/>
      <rgbColor rgb="FFFF99CC"/>
      <rgbColor rgb="FFCC99FF"/>
      <rgbColor rgb="FFF2D9A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ziprecruiter.com/Salaries/Plumber-Salary--in-Vermont" TargetMode="External"/><Relationship Id="rId2" Type="http://schemas.openxmlformats.org/officeDocument/2006/relationships/hyperlink" Target="https://www.homedepot.com/b/Kitchen-Kitchen-Cabinets/N-5yc1vZar6c" TargetMode="External"/><Relationship Id="rId3" Type="http://schemas.openxmlformats.org/officeDocument/2006/relationships/hyperlink" Target="https://www.homedepot.com/b/Lumber-Composites-Dimensional-Lumber/N-5yc1vZc3ie" TargetMode="External"/><Relationship Id="rId4" Type="http://schemas.openxmlformats.org/officeDocument/2006/relationships/hyperlink" Target="https://www.homedepot.com/b/Kitchen-Countertops-Butcher-Block-Countertops/Maple/N-5yc1vZcgrcZ1z18b9s" TargetMode="External"/><Relationship Id="rId5" Type="http://schemas.openxmlformats.org/officeDocument/2006/relationships/hyperlink" Target="https://www.homedepot.com/p/HOROW-White-Fireclay-30-in-x-20-in-Single-Bowl-Farmhouse-Apron-Front-Kitchen-Sink-with-Bottom-Grid-and-Strainer-HR-F3020/323394024" TargetMode="External"/><Relationship Id="rId6" Type="http://schemas.openxmlformats.org/officeDocument/2006/relationships/hyperlink" Target="https://www.homedepot.com/b/Kitchen-Kitchen-Faucets/N-5yc1vZcfg9" TargetMode="External"/><Relationship Id="rId7" Type="http://schemas.openxmlformats.org/officeDocument/2006/relationships/hyperlink" Target="https://www.homedepot.com/b/Flooring-Tile-Ceramic-Tile/N-5yc1vZarsz" TargetMode="External"/><Relationship Id="rId8" Type="http://schemas.openxmlformats.org/officeDocument/2006/relationships/hyperlink" Target="https://www.homedepot.com/b/Appliances-Kitchen-Appliance-Packages/Stainless-Steel/Electric/N-5yc1vZ2fkpfujZ1z0kmamZ1z109sq" TargetMode="External"/><Relationship Id="rId9" Type="http://schemas.openxmlformats.org/officeDocument/2006/relationships/hyperlink" Target="https://www.homedepot.com/b/Lighting/N-5yc1vZbvn5" TargetMode="External"/><Relationship Id="rId10" Type="http://schemas.openxmlformats.org/officeDocument/2006/relationships/hyperlink" Target="https://www.ziprecruiter.com/Salaries/Plumber-Salary--in-Vermont" TargetMode="External"/><Relationship Id="rId11" Type="http://schemas.openxmlformats.org/officeDocument/2006/relationships/hyperlink" Target="https://www.angi.com/articles/hardwood-floor-refinishing-cost-and-other-factors.htm" TargetMode="External"/><Relationship Id="rId12" Type="http://schemas.openxmlformats.org/officeDocument/2006/relationships/hyperlink" Target="https://www.homedepot.com/b/Paint-Interior-Paint/N-5yc1vZaqz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ngi.com/articles/hardwood-floor-refinishing-cost-and-other-factors.htm" TargetMode="External"/><Relationship Id="rId2" Type="http://schemas.openxmlformats.org/officeDocument/2006/relationships/hyperlink" Target="https://www.homedepot.com/b/Lumber-Composites-Dimensional-Lumber/N-5yc1vZc3ie" TargetMode="External"/><Relationship Id="rId3" Type="http://schemas.openxmlformats.org/officeDocument/2006/relationships/hyperlink" Target="https://www.angi.com/articles/how-much-does-it-cost-install-recessed-lighting.htm" TargetMode="External"/><Relationship Id="rId4" Type="http://schemas.openxmlformats.org/officeDocument/2006/relationships/hyperlink" Target="https://www.homedepot.com/p/Pioneer-Low-Ambient-12-000-BTU-1-Ton-19-SEER2-Ductless-Mini-Split-Wall-Mounted-Inverter-Air-Conditioner-with-Heat-Pump-110-120V-WYT012ALFI19RL/325844602" TargetMode="External"/><Relationship Id="rId5" Type="http://schemas.openxmlformats.org/officeDocument/2006/relationships/hyperlink" Target="https://www.homedepot.com/b/Heating-Venting-Cooling-Stove-Pipe/N-5yc1vZc4n6" TargetMode="External"/><Relationship Id="rId6" Type="http://schemas.openxmlformats.org/officeDocument/2006/relationships/hyperlink" Target="https://www.homedepot.com/b/Paint-Interior-Paint/N-5yc1vZaqz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homedepot.com/b/Lumber-Composites-Boards-Planks-Panels-Wall-Paneling/Pine/Tongue-and-Groove/N-5yc1vZbqp3Z1z0p2q6Z1z0p5w0" TargetMode="External"/><Relationship Id="rId2" Type="http://schemas.openxmlformats.org/officeDocument/2006/relationships/hyperlink" Target="https://www.angi.com/articles/hardwood-floor-refinishing-cost-and-other-factors.htm" TargetMode="External"/><Relationship Id="rId3" Type="http://schemas.openxmlformats.org/officeDocument/2006/relationships/hyperlink" Target="https://www.homedepot.com/b/Lumber-Composites-Dimensional-Lumber/N-5yc1vZc3ie" TargetMode="External"/><Relationship Id="rId4" Type="http://schemas.openxmlformats.org/officeDocument/2006/relationships/hyperlink" Target="https://www.homedepot.com/b/Paint-Interior-Paint/N-5yc1vZaqz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homedepot.com/b/Flooring-Tile/Slate/N-5yc1vZar0y" TargetMode="External"/><Relationship Id="rId2" Type="http://schemas.openxmlformats.org/officeDocument/2006/relationships/hyperlink" Target="https://www.homedepot.com/b/Lumber-Composites-Dimensional-Lumber/N-5yc1vZc3ie" TargetMode="External"/><Relationship Id="rId3" Type="http://schemas.openxmlformats.org/officeDocument/2006/relationships/hyperlink" Target="https://www.angi.com/articles/how-much-does-it-cost-install-recessed-lighting.htm" TargetMode="External"/><Relationship Id="rId4" Type="http://schemas.openxmlformats.org/officeDocument/2006/relationships/hyperlink" Target="https://www.homedepot.com/b/Lumber-Composites-Dimensional-Lumber/N-5yc1vZc3ie" TargetMode="External"/><Relationship Id="rId5" Type="http://schemas.openxmlformats.org/officeDocument/2006/relationships/hyperlink" Target="https://www.homedepot.com/b/Paint-Interior-Paint/N-5yc1vZaqz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ziprecruiter.com/Salaries/Plumber-Salary--in-Vermont" TargetMode="External"/><Relationship Id="rId2" Type="http://schemas.openxmlformats.org/officeDocument/2006/relationships/hyperlink" Target="https://www.homedepot.com/b/Flooring-Tile-Ceramic-Tile/Saltillo/N-5yc1vZarszZ1z13eti" TargetMode="External"/><Relationship Id="rId3" Type="http://schemas.openxmlformats.org/officeDocument/2006/relationships/hyperlink" Target="https://www.ziprecruiter.com/Salaries/Plumber-Salary--in-Vermont" TargetMode="External"/><Relationship Id="rId4" Type="http://schemas.openxmlformats.org/officeDocument/2006/relationships/hyperlink" Target="https://www.homedepot.com/b/Flooring-Tile-Ceramic-Tile/N-5yc1vZarsz" TargetMode="External"/><Relationship Id="rId5" Type="http://schemas.openxmlformats.org/officeDocument/2006/relationships/hyperlink" Target="https://www.homedepot.com/b/Lumber-Composites-Boards-Planks-Panels-Wall-Paneling/Pine/Tongue-and-Groove/N-5yc1vZbqp3Z1z0p2q6Z1z0p5w0" TargetMode="External"/><Relationship Id="rId6" Type="http://schemas.openxmlformats.org/officeDocument/2006/relationships/hyperlink" Target="https://www.homedepot.com/b/Bath-Bathroom-Vanities-Bathroom-Vanities-with-Tops/N-5yc1vZcfw5" TargetMode="External"/><Relationship Id="rId7" Type="http://schemas.openxmlformats.org/officeDocument/2006/relationships/hyperlink" Target="https://www.homedepot.com/b/Bath-Toilets/N-5yc1vZbzb4" TargetMode="External"/><Relationship Id="rId8" Type="http://schemas.openxmlformats.org/officeDocument/2006/relationships/hyperlink" Target="https://www.homedepot.com/b/Bath-Bathroom-Faucets/N-5yc1vZbzaz" TargetMode="External"/><Relationship Id="rId9" Type="http://schemas.openxmlformats.org/officeDocument/2006/relationships/hyperlink" Target="https://www.homedepot.com/b/Lighting/N-5yc1vZbvn5" TargetMode="External"/><Relationship Id="rId10" Type="http://schemas.openxmlformats.org/officeDocument/2006/relationships/hyperlink" Target="https://www.ziprecruiter.com/Salaries/Plumber-Salary--in-Vermont" TargetMode="External"/><Relationship Id="rId11" Type="http://schemas.openxmlformats.org/officeDocument/2006/relationships/hyperlink" Target="https://www.homedepot.com/b/Paint-Interior-Paint/N-5yc1vZaqz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ziprecruiter.com/Salaries/Plumber-Salary--in-Vermont" TargetMode="External"/><Relationship Id="rId2" Type="http://schemas.openxmlformats.org/officeDocument/2006/relationships/hyperlink" Target="https://www.homedepot.com/b/Flooring-Tile-Ceramic-Tile/Saltillo/N-5yc1vZarszZ1z13eti" TargetMode="External"/><Relationship Id="rId3" Type="http://schemas.openxmlformats.org/officeDocument/2006/relationships/hyperlink" Target="https://www.homedepot.com/b/Bath-Bathtubs-Clawfoot-Tubs/Cast-Iron/N-5yc1vZbzbrZ1z0ub2t" TargetMode="External"/><Relationship Id="rId4" Type="http://schemas.openxmlformats.org/officeDocument/2006/relationships/hyperlink" Target="https://www.homedepot.com/b/Bath-Bathtub-Faucets/Freestanding-Tub-Faucets/N-5yc1vZbzcaZ1z0t0gn" TargetMode="External"/><Relationship Id="rId5" Type="http://schemas.openxmlformats.org/officeDocument/2006/relationships/hyperlink" Target="https://www.homedepot.com/b/Flooring-Tile-Ceramic-Tile/N-5yc1vZarsz" TargetMode="External"/><Relationship Id="rId6" Type="http://schemas.openxmlformats.org/officeDocument/2006/relationships/hyperlink" Target="https://www.homedepot.com/b/Bath-Bathroom-Vanities-Bathroom-Vanities-with-Tops/N-5yc1vZcfw5" TargetMode="External"/><Relationship Id="rId7" Type="http://schemas.openxmlformats.org/officeDocument/2006/relationships/hyperlink" Target="https://www.homedepot.com/b/Bath-Toilets/N-5yc1vZbzb4" TargetMode="External"/><Relationship Id="rId8" Type="http://schemas.openxmlformats.org/officeDocument/2006/relationships/hyperlink" Target="https://www.homedepot.com/b/Lighting/N-5yc1vZbvn5" TargetMode="External"/><Relationship Id="rId9" Type="http://schemas.openxmlformats.org/officeDocument/2006/relationships/hyperlink" Target="https://www.ziprecruiter.com/Salaries/Plumber-Salary--in-Vermont" TargetMode="External"/><Relationship Id="rId10" Type="http://schemas.openxmlformats.org/officeDocument/2006/relationships/hyperlink" Target="https://www.homedepot.com/b/Paint-Interior-Paint/N-5yc1vZaqz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homedepot.com/b/Lumber-Composites-Boards-Planks-Panels-Wall-Paneling/Pine/Tongue-and-Groove/N-5yc1vZbqp3Z1z0p2q6Z1z0p5w0" TargetMode="External"/><Relationship Id="rId2" Type="http://schemas.openxmlformats.org/officeDocument/2006/relationships/hyperlink" Target="https://www.angi.com/articles/hardwood-floor-refinishing-cost-and-other-factors.htm" TargetMode="External"/><Relationship Id="rId3" Type="http://schemas.openxmlformats.org/officeDocument/2006/relationships/hyperlink" Target="https://www.homedepot.com/b/Lumber-Composites-Dimensional-Lumber/N-5yc1vZc3ie" TargetMode="External"/><Relationship Id="rId4" Type="http://schemas.openxmlformats.org/officeDocument/2006/relationships/hyperlink" Target="https://www.homedepot.com/p/Pioneer-Low-Ambient-12-000-BTU-1-Ton-19-SEER2-Ductless-Mini-Split-Wall-Mounted-Inverter-Air-Conditioner-with-Heat-Pump-110-120V-WYT012ALFI19RL/325844602" TargetMode="External"/><Relationship Id="rId5" Type="http://schemas.openxmlformats.org/officeDocument/2006/relationships/hyperlink" Target="https://www.homedepot.com/b/Lumber-Composites-Dimensional-Lumber/N-5yc1vZc3ie" TargetMode="External"/><Relationship Id="rId6" Type="http://schemas.openxmlformats.org/officeDocument/2006/relationships/hyperlink" Target="https://www.homedepot.com/b/Lighting/N-5yc1vZbvn5" TargetMode="External"/><Relationship Id="rId7" Type="http://schemas.openxmlformats.org/officeDocument/2006/relationships/hyperlink" Target="https://www.homedepot.com/b/Lumber-Composites-Dimensional-Lumber/N-5yc1vZc3ie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homedepot.com/b/Lumber-Composites-Boards-Planks-Panels-Wall-Paneling/Pine/Tongue-and-Groove/N-5yc1vZbqp3Z1z0p2q6Z1z0p5w0" TargetMode="External"/><Relationship Id="rId2" Type="http://schemas.openxmlformats.org/officeDocument/2006/relationships/hyperlink" Target="https://www.angi.com/articles/hardwood-floor-refinishing-cost-and-other-factors.htm" TargetMode="External"/><Relationship Id="rId3" Type="http://schemas.openxmlformats.org/officeDocument/2006/relationships/hyperlink" Target="https://www.homedepot.com/p/Pioneer-Low-Ambient-12-000-BTU-1-Ton-19-SEER2-Ductless-Mini-Split-Wall-Mounted-Inverter-Air-Conditioner-with-Heat-Pump-110-120V-WYT012ALFI19RL/325844602" TargetMode="External"/><Relationship Id="rId4" Type="http://schemas.openxmlformats.org/officeDocument/2006/relationships/hyperlink" Target="https://www.homedepot.com/b/Lumber-Composites-Dimensional-Lumber/N-5yc1vZc3ie" TargetMode="External"/><Relationship Id="rId5" Type="http://schemas.openxmlformats.org/officeDocument/2006/relationships/hyperlink" Target="https://www.homedepot.com/b/Lighting/N-5yc1vZbvn5" TargetMode="External"/><Relationship Id="rId6" Type="http://schemas.openxmlformats.org/officeDocument/2006/relationships/hyperlink" Target="https://www.homedepot.com/b/Lumber-Composites-Dimensional-Lumber/N-5yc1vZc3i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brattleboro.gov/" TargetMode="External"/><Relationship Id="rId2" Type="http://schemas.openxmlformats.org/officeDocument/2006/relationships/hyperlink" Target="https://www.angi.com/articles/how-much-does-popcorn-ceiling-removal-cost.htm" TargetMode="External"/><Relationship Id="rId3" Type="http://schemas.openxmlformats.org/officeDocument/2006/relationships/hyperlink" Target="https://www.ziprecruiter.com/Salaries/Electrician-Salary--in-Vermont" TargetMode="External"/><Relationship Id="rId4" Type="http://schemas.openxmlformats.org/officeDocument/2006/relationships/hyperlink" Target="https://www.angi.com/articles/how-much-does-popcorn-ceiling-removal-cost.htm" TargetMode="External"/><Relationship Id="rId5" Type="http://schemas.openxmlformats.org/officeDocument/2006/relationships/hyperlink" Target="https://www.homedepot.com/b/Lumber-Composites-Dimensional-Lumber/N-5yc1vZc3ie" TargetMode="External"/><Relationship Id="rId6" Type="http://schemas.openxmlformats.org/officeDocument/2006/relationships/hyperlink" Target="https://www.brattleboro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3"/>
      <c r="C3" s="3"/>
      <c r="D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Kitchen!E17</f>
        <v>10828</v>
      </c>
      <c r="C6" s="6" t="n">
        <f aca="false">Kitchen!F17</f>
        <v>7556</v>
      </c>
      <c r="D6" s="6" t="n">
        <f aca="false">B6+C6</f>
        <v>18384</v>
      </c>
    </row>
    <row r="7" customFormat="false" ht="15" hidden="false" customHeight="false" outlineLevel="0" collapsed="false">
      <c r="A7" s="5" t="s">
        <v>8</v>
      </c>
      <c r="B7" s="6" t="n">
        <f aca="false">'Living - Great Room'!E11</f>
        <v>2180</v>
      </c>
      <c r="C7" s="6" t="n">
        <f aca="false">'Living - Great Room'!F11</f>
        <v>5860</v>
      </c>
      <c r="D7" s="6" t="n">
        <f aca="false">B7+C7</f>
        <v>8040</v>
      </c>
    </row>
    <row r="8" customFormat="false" ht="15" hidden="false" customHeight="false" outlineLevel="0" collapsed="false">
      <c r="A8" s="5" t="s">
        <v>9</v>
      </c>
      <c r="B8" s="6" t="n">
        <f aca="false">'Dining Room'!E9</f>
        <v>1780</v>
      </c>
      <c r="C8" s="6" t="n">
        <f aca="false">'Dining Room'!F9</f>
        <v>2510</v>
      </c>
      <c r="D8" s="6" t="n">
        <f aca="false">B8+C8</f>
        <v>4290</v>
      </c>
    </row>
    <row r="9" customFormat="false" ht="15" hidden="false" customHeight="false" outlineLevel="0" collapsed="false">
      <c r="A9" s="5" t="s">
        <v>10</v>
      </c>
      <c r="B9" s="6" t="n">
        <f aca="false">'Entry - Foyer &amp; Stairs'!E10</f>
        <v>2860</v>
      </c>
      <c r="C9" s="6" t="n">
        <f aca="false">'Entry - Foyer &amp; Stairs'!F10</f>
        <v>5210</v>
      </c>
      <c r="D9" s="6" t="n">
        <f aca="false">B9+C9</f>
        <v>8070</v>
      </c>
    </row>
    <row r="10" customFormat="false" ht="15" hidden="false" customHeight="false" outlineLevel="0" collapsed="false">
      <c r="A10" s="5" t="s">
        <v>11</v>
      </c>
      <c r="B10" s="6" t="n">
        <f aca="false">'Bathroom - Main (1st flr)'!E16</f>
        <v>2830</v>
      </c>
      <c r="C10" s="6" t="n">
        <f aca="false">'Bathroom - Main (1st flr)'!F16</f>
        <v>4575</v>
      </c>
      <c r="D10" s="6" t="n">
        <f aca="false">B10+C10</f>
        <v>7405</v>
      </c>
    </row>
    <row r="11" customFormat="false" ht="15" hidden="false" customHeight="false" outlineLevel="0" collapsed="false">
      <c r="A11" s="5" t="s">
        <v>12</v>
      </c>
      <c r="B11" s="6" t="n">
        <f aca="false">'Bathroom - Upstairs (clawfoot)'!E15</f>
        <v>5610</v>
      </c>
      <c r="C11" s="6" t="n">
        <f aca="false">'Bathroom - Upstairs (clawfoot)'!F15</f>
        <v>6005</v>
      </c>
      <c r="D11" s="6" t="n">
        <f aca="false">B11+C11</f>
        <v>11615</v>
      </c>
    </row>
    <row r="12" customFormat="false" ht="15" hidden="false" customHeight="false" outlineLevel="0" collapsed="false">
      <c r="A12" s="5" t="s">
        <v>13</v>
      </c>
      <c r="B12" s="6" t="n">
        <f aca="false">'Bedroom 1 - Kids Loft'!E12</f>
        <v>3430</v>
      </c>
      <c r="C12" s="6" t="n">
        <f aca="false">'Bedroom 1 - Kids Loft'!F12</f>
        <v>5680</v>
      </c>
      <c r="D12" s="6" t="n">
        <f aca="false">B12+C12</f>
        <v>9110</v>
      </c>
    </row>
    <row r="13" customFormat="false" ht="15" hidden="false" customHeight="false" outlineLevel="0" collapsed="false">
      <c r="A13" s="5" t="s">
        <v>14</v>
      </c>
      <c r="B13" s="6" t="n">
        <f aca="false">'Bedroom 2 - Pine'!E11</f>
        <v>3010</v>
      </c>
      <c r="C13" s="6" t="n">
        <f aca="false">'Bedroom 2 - Pine'!F11</f>
        <v>5030</v>
      </c>
      <c r="D13" s="6" t="n">
        <f aca="false">B13+C13</f>
        <v>8040</v>
      </c>
    </row>
    <row r="14" customFormat="false" ht="15" hidden="false" customHeight="false" outlineLevel="0" collapsed="false">
      <c r="A14" s="5" t="s">
        <v>15</v>
      </c>
      <c r="B14" s="6" t="n">
        <f aca="false">'General - Whole-House'!E11</f>
        <v>1540</v>
      </c>
      <c r="C14" s="6" t="n">
        <f aca="false">'General - Whole-House'!F11</f>
        <v>7400</v>
      </c>
      <c r="D14" s="6" t="n">
        <f aca="false">B14+C14</f>
        <v>8940</v>
      </c>
    </row>
    <row r="15" customFormat="false" ht="15" hidden="false" customHeight="false" outlineLevel="0" collapsed="false">
      <c r="A15" s="7" t="s">
        <v>16</v>
      </c>
      <c r="B15" s="8" t="n">
        <f aca="false">SUM(B6:B14)</f>
        <v>34068</v>
      </c>
      <c r="C15" s="8" t="n">
        <f aca="false">SUM(C6:C14)</f>
        <v>49826</v>
      </c>
      <c r="D15" s="8" t="n">
        <f aca="false">SUM(D6:D14)</f>
        <v>83894</v>
      </c>
    </row>
    <row r="16" customFormat="false" ht="15" hidden="false" customHeight="false" outlineLevel="0" collapsed="false">
      <c r="A16" s="5" t="s">
        <v>17</v>
      </c>
      <c r="B16" s="9"/>
      <c r="C16" s="10" t="s">
        <v>18</v>
      </c>
      <c r="D16" s="6" t="n">
        <f aca="false">0.15*D15</f>
        <v>12584.1</v>
      </c>
    </row>
    <row r="17" customFormat="false" ht="15" hidden="false" customHeight="false" outlineLevel="0" collapsed="false">
      <c r="A17" s="5" t="s">
        <v>19</v>
      </c>
      <c r="B17" s="9"/>
      <c r="C17" s="9"/>
      <c r="D17" s="6" t="n">
        <f aca="false">0.12*(D15+D16)</f>
        <v>11577.372</v>
      </c>
    </row>
    <row r="18" customFormat="false" ht="16.15" hidden="false" customHeight="false" outlineLevel="0" collapsed="false">
      <c r="A18" s="11" t="s">
        <v>20</v>
      </c>
      <c r="B18" s="12"/>
      <c r="C18" s="12"/>
      <c r="D18" s="13" t="n">
        <f aca="false">D15+D16+D17</f>
        <v>108055.472</v>
      </c>
    </row>
    <row r="20" customFormat="false" ht="15" hidden="false" customHeight="false" outlineLevel="0" collapsed="false">
      <c r="A20" s="14" t="s">
        <v>21</v>
      </c>
    </row>
    <row r="21" customFormat="false" ht="15" hidden="false" customHeight="false" outlineLevel="0" collapsed="false">
      <c r="A21" s="15" t="s">
        <v>22</v>
      </c>
      <c r="D21" s="16" t="n">
        <f aca="false">B15</f>
        <v>34068</v>
      </c>
    </row>
    <row r="22" customFormat="false" ht="15" hidden="false" customHeight="false" outlineLevel="0" collapsed="false">
      <c r="A22" s="15" t="s">
        <v>23</v>
      </c>
      <c r="D22" s="16" t="n">
        <f aca="false">C15</f>
        <v>49826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7" t="s">
        <v>24</v>
      </c>
    </row>
    <row r="2" customFormat="false" ht="15" hidden="false" customHeight="false" outlineLevel="0" collapsed="false">
      <c r="A2" s="18"/>
    </row>
    <row r="3" customFormat="false" ht="42" hidden="false" customHeight="true" outlineLevel="0" collapsed="false">
      <c r="A3" s="18" t="s">
        <v>25</v>
      </c>
    </row>
    <row r="4" customFormat="false" ht="42" hidden="false" customHeight="true" outlineLevel="0" collapsed="false">
      <c r="A4" s="18" t="s">
        <v>26</v>
      </c>
    </row>
    <row r="5" customFormat="false" ht="15" hidden="false" customHeight="false" outlineLevel="0" collapsed="false">
      <c r="A5" s="18"/>
    </row>
    <row r="6" customFormat="false" ht="15" hidden="false" customHeight="false" outlineLevel="0" collapsed="false">
      <c r="A6" s="19" t="s">
        <v>27</v>
      </c>
    </row>
    <row r="7" customFormat="false" ht="15" hidden="false" customHeight="false" outlineLevel="0" collapsed="false">
      <c r="A7" s="18" t="s">
        <v>28</v>
      </c>
    </row>
    <row r="8" customFormat="false" ht="27.75" hidden="false" customHeight="true" outlineLevel="0" collapsed="false">
      <c r="A8" s="18" t="s">
        <v>29</v>
      </c>
    </row>
    <row r="9" customFormat="false" ht="15" hidden="false" customHeight="false" outlineLevel="0" collapsed="false">
      <c r="A9" s="18"/>
    </row>
    <row r="10" customFormat="false" ht="111.75" hidden="false" customHeight="true" outlineLevel="0" collapsed="false">
      <c r="A10" s="18" t="s">
        <v>30</v>
      </c>
    </row>
    <row r="11" customFormat="false" ht="15" hidden="false" customHeight="false" outlineLevel="0" collapsed="false">
      <c r="A11" s="18"/>
    </row>
    <row r="12" customFormat="false" ht="42" hidden="false" customHeight="true" outlineLevel="0" collapsed="false">
      <c r="A12" s="18" t="s">
        <v>31</v>
      </c>
    </row>
    <row r="13" customFormat="false" ht="27.75" hidden="false" customHeight="true" outlineLevel="0" collapsed="false">
      <c r="A13" s="18" t="s">
        <v>32</v>
      </c>
    </row>
    <row r="14" customFormat="false" ht="15" hidden="false" customHeight="false" outlineLevel="0" collapsed="false">
      <c r="A14" s="18"/>
    </row>
    <row r="15" customFormat="false" ht="55.5" hidden="false" customHeight="true" outlineLevel="0" collapsed="false">
      <c r="A15" s="2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7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23.85" hidden="false" customHeight="false" outlineLevel="0" collapsed="false">
      <c r="A5" s="23" t="s">
        <v>42</v>
      </c>
      <c r="B5" s="24" t="n">
        <v>1</v>
      </c>
      <c r="C5" s="24" t="s">
        <v>43</v>
      </c>
      <c r="D5" s="25" t="n">
        <v>0</v>
      </c>
      <c r="E5" s="25" t="n">
        <f aca="false">B5*D5</f>
        <v>0</v>
      </c>
      <c r="F5" s="25" t="n">
        <f aca="false">B5*800</f>
        <v>800</v>
      </c>
      <c r="G5" s="26" t="s">
        <v>44</v>
      </c>
    </row>
    <row r="6" customFormat="false" ht="15" hidden="false" customHeight="false" outlineLevel="0" collapsed="false">
      <c r="A6" s="23" t="s">
        <v>45</v>
      </c>
      <c r="B6" s="24" t="n">
        <v>22</v>
      </c>
      <c r="C6" s="24" t="s">
        <v>46</v>
      </c>
      <c r="D6" s="25" t="n">
        <v>200</v>
      </c>
      <c r="E6" s="25" t="n">
        <f aca="false">B6*D6</f>
        <v>4400</v>
      </c>
      <c r="F6" s="25" t="n">
        <f aca="false">B6*100</f>
        <v>2200</v>
      </c>
      <c r="G6" s="26" t="s">
        <v>47</v>
      </c>
    </row>
    <row r="7" customFormat="false" ht="15" hidden="false" customHeight="false" outlineLevel="0" collapsed="false">
      <c r="A7" s="23" t="s">
        <v>48</v>
      </c>
      <c r="B7" s="24" t="n">
        <v>6</v>
      </c>
      <c r="C7" s="24" t="s">
        <v>49</v>
      </c>
      <c r="D7" s="25" t="n">
        <v>60</v>
      </c>
      <c r="E7" s="25" t="n">
        <f aca="false">B7*D7</f>
        <v>360</v>
      </c>
      <c r="F7" s="25" t="n">
        <f aca="false">B7*40</f>
        <v>240</v>
      </c>
      <c r="G7" s="26" t="s">
        <v>50</v>
      </c>
    </row>
    <row r="8" customFormat="false" ht="15" hidden="false" customHeight="false" outlineLevel="0" collapsed="false">
      <c r="A8" s="23" t="s">
        <v>51</v>
      </c>
      <c r="B8" s="24" t="n">
        <v>40</v>
      </c>
      <c r="C8" s="24" t="s">
        <v>52</v>
      </c>
      <c r="D8" s="25" t="n">
        <v>45</v>
      </c>
      <c r="E8" s="25" t="n">
        <f aca="false">B8*D8</f>
        <v>1800</v>
      </c>
      <c r="F8" s="25" t="n">
        <f aca="false">B8*25</f>
        <v>1000</v>
      </c>
      <c r="G8" s="26" t="s">
        <v>53</v>
      </c>
    </row>
    <row r="9" customFormat="false" ht="15" hidden="false" customHeight="false" outlineLevel="0" collapsed="false">
      <c r="A9" s="23" t="s">
        <v>54</v>
      </c>
      <c r="B9" s="24" t="n">
        <v>1</v>
      </c>
      <c r="C9" s="24" t="s">
        <v>55</v>
      </c>
      <c r="D9" s="25" t="n">
        <v>260</v>
      </c>
      <c r="E9" s="25" t="n">
        <f aca="false">B9*D9</f>
        <v>260</v>
      </c>
      <c r="F9" s="25" t="n">
        <f aca="false">B9*150</f>
        <v>150</v>
      </c>
      <c r="G9" s="26" t="s">
        <v>56</v>
      </c>
    </row>
    <row r="10" customFormat="false" ht="15" hidden="false" customHeight="false" outlineLevel="0" collapsed="false">
      <c r="A10" s="23" t="s">
        <v>57</v>
      </c>
      <c r="B10" s="24" t="n">
        <v>1</v>
      </c>
      <c r="C10" s="24" t="s">
        <v>55</v>
      </c>
      <c r="D10" s="25" t="n">
        <v>220</v>
      </c>
      <c r="E10" s="25" t="n">
        <f aca="false">B10*D10</f>
        <v>220</v>
      </c>
      <c r="F10" s="25" t="n">
        <f aca="false">B10*120</f>
        <v>120</v>
      </c>
      <c r="G10" s="26" t="s">
        <v>58</v>
      </c>
    </row>
    <row r="11" customFormat="false" ht="15" hidden="false" customHeight="false" outlineLevel="0" collapsed="false">
      <c r="A11" s="23" t="s">
        <v>59</v>
      </c>
      <c r="B11" s="24" t="n">
        <v>32</v>
      </c>
      <c r="C11" s="24" t="s">
        <v>52</v>
      </c>
      <c r="D11" s="25" t="n">
        <v>9</v>
      </c>
      <c r="E11" s="25" t="n">
        <f aca="false">B11*D11</f>
        <v>288</v>
      </c>
      <c r="F11" s="25" t="n">
        <f aca="false">B11*13</f>
        <v>416</v>
      </c>
      <c r="G11" s="26" t="s">
        <v>60</v>
      </c>
    </row>
    <row r="12" customFormat="false" ht="23.85" hidden="false" customHeight="false" outlineLevel="0" collapsed="false">
      <c r="A12" s="23" t="s">
        <v>61</v>
      </c>
      <c r="B12" s="24" t="n">
        <v>1</v>
      </c>
      <c r="C12" s="24" t="s">
        <v>62</v>
      </c>
      <c r="D12" s="25" t="n">
        <v>2600</v>
      </c>
      <c r="E12" s="25" t="n">
        <f aca="false">B12*D12</f>
        <v>2600</v>
      </c>
      <c r="F12" s="25" t="n">
        <f aca="false">B12*250</f>
        <v>250</v>
      </c>
      <c r="G12" s="26" t="s">
        <v>63</v>
      </c>
    </row>
    <row r="13" customFormat="false" ht="15" hidden="false" customHeight="false" outlineLevel="0" collapsed="false">
      <c r="A13" s="23" t="s">
        <v>64</v>
      </c>
      <c r="B13" s="24" t="n">
        <v>1</v>
      </c>
      <c r="C13" s="24" t="s">
        <v>43</v>
      </c>
      <c r="D13" s="25" t="n">
        <v>450</v>
      </c>
      <c r="E13" s="25" t="n">
        <f aca="false">B13*D13</f>
        <v>450</v>
      </c>
      <c r="F13" s="25" t="n">
        <f aca="false">B13*700</f>
        <v>700</v>
      </c>
      <c r="G13" s="26" t="s">
        <v>65</v>
      </c>
    </row>
    <row r="14" customFormat="false" ht="15" hidden="false" customHeight="false" outlineLevel="0" collapsed="false">
      <c r="A14" s="23" t="s">
        <v>66</v>
      </c>
      <c r="B14" s="24" t="n">
        <v>1</v>
      </c>
      <c r="C14" s="24" t="s">
        <v>43</v>
      </c>
      <c r="D14" s="25" t="n">
        <v>0</v>
      </c>
      <c r="E14" s="25" t="n">
        <f aca="false">B14*D14</f>
        <v>0</v>
      </c>
      <c r="F14" s="25" t="n">
        <f aca="false">B14*600</f>
        <v>600</v>
      </c>
      <c r="G14" s="26" t="s">
        <v>44</v>
      </c>
    </row>
    <row r="15" customFormat="false" ht="15" hidden="false" customHeight="false" outlineLevel="0" collapsed="false">
      <c r="A15" s="23" t="s">
        <v>67</v>
      </c>
      <c r="B15" s="24" t="n">
        <v>180</v>
      </c>
      <c r="C15" s="24" t="s">
        <v>52</v>
      </c>
      <c r="D15" s="25" t="n">
        <v>1.5</v>
      </c>
      <c r="E15" s="25" t="n">
        <f aca="false">B15*D15</f>
        <v>270</v>
      </c>
      <c r="F15" s="25" t="n">
        <f aca="false">B15*3.5</f>
        <v>630</v>
      </c>
      <c r="G15" s="26" t="s">
        <v>68</v>
      </c>
    </row>
    <row r="16" customFormat="false" ht="15" hidden="false" customHeight="false" outlineLevel="0" collapsed="false">
      <c r="A16" s="23" t="s">
        <v>69</v>
      </c>
      <c r="B16" s="24" t="n">
        <v>180</v>
      </c>
      <c r="C16" s="24" t="s">
        <v>52</v>
      </c>
      <c r="D16" s="25" t="n">
        <v>1</v>
      </c>
      <c r="E16" s="25" t="n">
        <f aca="false">B16*D16</f>
        <v>180</v>
      </c>
      <c r="F16" s="25" t="n">
        <f aca="false">B16*2.5</f>
        <v>450</v>
      </c>
      <c r="G16" s="26" t="s">
        <v>70</v>
      </c>
    </row>
    <row r="17" customFormat="false" ht="15" hidden="false" customHeight="false" outlineLevel="0" collapsed="false">
      <c r="A17" s="7" t="s">
        <v>71</v>
      </c>
      <c r="B17" s="27"/>
      <c r="C17" s="27"/>
      <c r="D17" s="27"/>
      <c r="E17" s="8" t="n">
        <f aca="false">SUM(E5:E16)</f>
        <v>10828</v>
      </c>
      <c r="F17" s="8" t="n">
        <f aca="false">SUM(F5:F16)</f>
        <v>7556</v>
      </c>
      <c r="G17" s="27"/>
    </row>
    <row r="18" customFormat="false" ht="15" hidden="false" customHeight="false" outlineLevel="0" collapsed="false">
      <c r="A18" s="28" t="s">
        <v>72</v>
      </c>
      <c r="B18" s="12"/>
      <c r="C18" s="12"/>
      <c r="D18" s="12"/>
      <c r="E18" s="29" t="n">
        <f aca="false">E17+F17</f>
        <v>18384</v>
      </c>
      <c r="F18" s="29"/>
      <c r="G18" s="12"/>
    </row>
  </sheetData>
  <mergeCells count="2">
    <mergeCell ref="A1:G1"/>
    <mergeCell ref="E18:F18"/>
  </mergeCells>
  <hyperlinks>
    <hyperlink ref="G5" r:id="rId1" display="ZipRecruiter – VT Plumber Rate"/>
    <hyperlink ref="G6" r:id="rId2" display="Home Depot – Kitchen Cabinets"/>
    <hyperlink ref="G7" r:id="rId3" display="Home Depot – Dimensional Lumber &amp; Trim"/>
    <hyperlink ref="G8" r:id="rId4" display="Home Depot – Maple Butcher Block"/>
    <hyperlink ref="G9" r:id="rId5" display="Home Depot – HOROW 30in Fireclay Farmhouse Sink"/>
    <hyperlink ref="G10" r:id="rId6" display="Home Depot – Kitchen Faucets"/>
    <hyperlink ref="G11" r:id="rId7" display="Home Depot – Ceramic Wall Tile"/>
    <hyperlink ref="G12" r:id="rId8" display="Home Depot – SS Electric Appliance Package"/>
    <hyperlink ref="G13" r:id="rId9" display="Home Depot – Lighting Fixtures"/>
    <hyperlink ref="G14" r:id="rId10" display="ZipRecruiter – VT Plumber Rate"/>
    <hyperlink ref="G15" r:id="rId11" display="Angi – Hardwood Refinishing Cost"/>
    <hyperlink ref="G16" r:id="rId12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8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73</v>
      </c>
      <c r="B5" s="24" t="n">
        <v>320</v>
      </c>
      <c r="C5" s="24" t="s">
        <v>52</v>
      </c>
      <c r="D5" s="25" t="n">
        <v>1.5</v>
      </c>
      <c r="E5" s="25" t="n">
        <f aca="false">B5*D5</f>
        <v>480</v>
      </c>
      <c r="F5" s="25" t="n">
        <f aca="false">B5*4</f>
        <v>1280</v>
      </c>
      <c r="G5" s="26" t="s">
        <v>68</v>
      </c>
    </row>
    <row r="6" customFormat="false" ht="15" hidden="false" customHeight="false" outlineLevel="0" collapsed="false">
      <c r="A6" s="23" t="s">
        <v>74</v>
      </c>
      <c r="B6" s="24" t="n">
        <v>1</v>
      </c>
      <c r="C6" s="24" t="s">
        <v>43</v>
      </c>
      <c r="D6" s="25" t="n">
        <v>120</v>
      </c>
      <c r="E6" s="25" t="n">
        <f aca="false">B6*D6</f>
        <v>120</v>
      </c>
      <c r="F6" s="25" t="n">
        <f aca="false">B6*600</f>
        <v>600</v>
      </c>
      <c r="G6" s="26" t="s">
        <v>50</v>
      </c>
    </row>
    <row r="7" customFormat="false" ht="15" hidden="false" customHeight="false" outlineLevel="0" collapsed="false">
      <c r="A7" s="23" t="s">
        <v>75</v>
      </c>
      <c r="B7" s="24" t="n">
        <v>6</v>
      </c>
      <c r="C7" s="24" t="s">
        <v>55</v>
      </c>
      <c r="D7" s="25" t="n">
        <v>35</v>
      </c>
      <c r="E7" s="25" t="n">
        <f aca="false">B7*D7</f>
        <v>210</v>
      </c>
      <c r="F7" s="25" t="n">
        <f aca="false">B7*130</f>
        <v>780</v>
      </c>
      <c r="G7" s="26" t="s">
        <v>76</v>
      </c>
    </row>
    <row r="8" customFormat="false" ht="15" hidden="false" customHeight="false" outlineLevel="0" collapsed="false">
      <c r="A8" s="23" t="s">
        <v>77</v>
      </c>
      <c r="B8" s="24" t="n">
        <v>1</v>
      </c>
      <c r="C8" s="24" t="s">
        <v>55</v>
      </c>
      <c r="D8" s="25" t="n">
        <v>750</v>
      </c>
      <c r="E8" s="25" t="n">
        <f aca="false">B8*D8</f>
        <v>750</v>
      </c>
      <c r="F8" s="25" t="n">
        <f aca="false">B8*2000</f>
        <v>2000</v>
      </c>
      <c r="G8" s="26" t="s">
        <v>78</v>
      </c>
    </row>
    <row r="9" customFormat="false" ht="15" hidden="false" customHeight="false" outlineLevel="0" collapsed="false">
      <c r="A9" s="23" t="s">
        <v>79</v>
      </c>
      <c r="B9" s="24" t="n">
        <v>1</v>
      </c>
      <c r="C9" s="24" t="s">
        <v>43</v>
      </c>
      <c r="D9" s="25" t="n">
        <v>300</v>
      </c>
      <c r="E9" s="25" t="n">
        <f aca="false">B9*D9</f>
        <v>300</v>
      </c>
      <c r="F9" s="25" t="n">
        <f aca="false">B9*400</f>
        <v>400</v>
      </c>
      <c r="G9" s="26" t="s">
        <v>80</v>
      </c>
    </row>
    <row r="10" customFormat="false" ht="15" hidden="false" customHeight="false" outlineLevel="0" collapsed="false">
      <c r="A10" s="23" t="s">
        <v>69</v>
      </c>
      <c r="B10" s="24" t="n">
        <v>320</v>
      </c>
      <c r="C10" s="24" t="s">
        <v>52</v>
      </c>
      <c r="D10" s="25" t="n">
        <v>1</v>
      </c>
      <c r="E10" s="25" t="n">
        <f aca="false">B10*D10</f>
        <v>320</v>
      </c>
      <c r="F10" s="25" t="n">
        <f aca="false">B10*2.5</f>
        <v>800</v>
      </c>
      <c r="G10" s="26" t="s">
        <v>70</v>
      </c>
    </row>
    <row r="11" customFormat="false" ht="15" hidden="false" customHeight="false" outlineLevel="0" collapsed="false">
      <c r="A11" s="7" t="s">
        <v>71</v>
      </c>
      <c r="B11" s="27"/>
      <c r="C11" s="27"/>
      <c r="D11" s="27"/>
      <c r="E11" s="8" t="n">
        <f aca="false">SUM(E5:E10)</f>
        <v>2180</v>
      </c>
      <c r="F11" s="8" t="n">
        <f aca="false">SUM(F5:F10)</f>
        <v>5860</v>
      </c>
      <c r="G11" s="27"/>
    </row>
    <row r="12" customFormat="false" ht="15" hidden="false" customHeight="false" outlineLevel="0" collapsed="false">
      <c r="A12" s="28" t="s">
        <v>72</v>
      </c>
      <c r="B12" s="12"/>
      <c r="C12" s="12"/>
      <c r="D12" s="12"/>
      <c r="E12" s="29" t="n">
        <f aca="false">E11+F11</f>
        <v>8040</v>
      </c>
      <c r="F12" s="29"/>
      <c r="G12" s="12"/>
    </row>
  </sheetData>
  <mergeCells count="2">
    <mergeCell ref="A1:G1"/>
    <mergeCell ref="E12:F12"/>
  </mergeCells>
  <hyperlinks>
    <hyperlink ref="G5" r:id="rId1" display="Angi – Hardwood Refinishing Cost"/>
    <hyperlink ref="G6" r:id="rId2" display="Home Depot – Dimensional Lumber &amp; Trim"/>
    <hyperlink ref="G7" r:id="rId3" display="Angi – Recessed Lighting Cost"/>
    <hyperlink ref="G8" r:id="rId4" display="Home Depot – Pioneer 12k BTU Mini-Split Heat Pump"/>
    <hyperlink ref="G9" r:id="rId5" display="Home Depot – Stove Pipe"/>
    <hyperlink ref="G10" r:id="rId6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9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81</v>
      </c>
      <c r="B5" s="24" t="n">
        <v>360</v>
      </c>
      <c r="C5" s="24" t="s">
        <v>52</v>
      </c>
      <c r="D5" s="25" t="n">
        <v>3</v>
      </c>
      <c r="E5" s="25" t="n">
        <f aca="false">B5*D5</f>
        <v>1080</v>
      </c>
      <c r="F5" s="25" t="n">
        <f aca="false">B5*3</f>
        <v>1080</v>
      </c>
      <c r="G5" s="26" t="s">
        <v>82</v>
      </c>
    </row>
    <row r="6" customFormat="false" ht="15" hidden="false" customHeight="false" outlineLevel="0" collapsed="false">
      <c r="A6" s="23" t="s">
        <v>67</v>
      </c>
      <c r="B6" s="24" t="n">
        <v>180</v>
      </c>
      <c r="C6" s="24" t="s">
        <v>52</v>
      </c>
      <c r="D6" s="25" t="n">
        <v>1.5</v>
      </c>
      <c r="E6" s="25" t="n">
        <f aca="false">B6*D6</f>
        <v>270</v>
      </c>
      <c r="F6" s="25" t="n">
        <f aca="false">B6*4</f>
        <v>720</v>
      </c>
      <c r="G6" s="26" t="s">
        <v>68</v>
      </c>
    </row>
    <row r="7" customFormat="false" ht="15" hidden="false" customHeight="false" outlineLevel="0" collapsed="false">
      <c r="A7" s="23" t="s">
        <v>83</v>
      </c>
      <c r="B7" s="24" t="n">
        <v>1</v>
      </c>
      <c r="C7" s="24" t="s">
        <v>43</v>
      </c>
      <c r="D7" s="25" t="n">
        <v>250</v>
      </c>
      <c r="E7" s="25" t="n">
        <f aca="false">B7*D7</f>
        <v>250</v>
      </c>
      <c r="F7" s="25" t="n">
        <f aca="false">B7*350</f>
        <v>350</v>
      </c>
      <c r="G7" s="26" t="s">
        <v>50</v>
      </c>
    </row>
    <row r="8" customFormat="false" ht="15" hidden="false" customHeight="false" outlineLevel="0" collapsed="false">
      <c r="A8" s="23" t="s">
        <v>84</v>
      </c>
      <c r="B8" s="24" t="n">
        <v>180</v>
      </c>
      <c r="C8" s="24" t="s">
        <v>52</v>
      </c>
      <c r="D8" s="25" t="n">
        <v>1</v>
      </c>
      <c r="E8" s="25" t="n">
        <f aca="false">B8*D8</f>
        <v>180</v>
      </c>
      <c r="F8" s="25" t="n">
        <f aca="false">B8*2</f>
        <v>360</v>
      </c>
      <c r="G8" s="26" t="s">
        <v>70</v>
      </c>
    </row>
    <row r="9" customFormat="false" ht="15" hidden="false" customHeight="false" outlineLevel="0" collapsed="false">
      <c r="A9" s="7" t="s">
        <v>71</v>
      </c>
      <c r="B9" s="27"/>
      <c r="C9" s="27"/>
      <c r="D9" s="27"/>
      <c r="E9" s="8" t="n">
        <f aca="false">SUM(E5:E8)</f>
        <v>1780</v>
      </c>
      <c r="F9" s="8" t="n">
        <f aca="false">SUM(F5:F8)</f>
        <v>2510</v>
      </c>
      <c r="G9" s="27"/>
    </row>
    <row r="10" customFormat="false" ht="15" hidden="false" customHeight="false" outlineLevel="0" collapsed="false">
      <c r="A10" s="28" t="s">
        <v>72</v>
      </c>
      <c r="B10" s="12"/>
      <c r="C10" s="12"/>
      <c r="D10" s="12"/>
      <c r="E10" s="29" t="n">
        <f aca="false">E9+F9</f>
        <v>4290</v>
      </c>
      <c r="F10" s="29"/>
      <c r="G10" s="12"/>
    </row>
  </sheetData>
  <mergeCells count="2">
    <mergeCell ref="A1:G1"/>
    <mergeCell ref="E10:F10"/>
  </mergeCells>
  <hyperlinks>
    <hyperlink ref="G5" r:id="rId1" display="Home Depot – Pine Tongue &amp; Groove Paneling"/>
    <hyperlink ref="G6" r:id="rId2" display="Angi – Hardwood Refinishing Cost"/>
    <hyperlink ref="G7" r:id="rId3" display="Home Depot – Dimensional Lumber &amp; Trim"/>
    <hyperlink ref="G8" r:id="rId4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10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85</v>
      </c>
      <c r="B5" s="24" t="n">
        <v>120</v>
      </c>
      <c r="C5" s="24" t="s">
        <v>52</v>
      </c>
      <c r="D5" s="25" t="n">
        <v>6</v>
      </c>
      <c r="E5" s="25" t="n">
        <f aca="false">B5*D5</f>
        <v>720</v>
      </c>
      <c r="F5" s="25" t="n">
        <f aca="false">B5*10</f>
        <v>1200</v>
      </c>
      <c r="G5" s="26" t="s">
        <v>86</v>
      </c>
    </row>
    <row r="6" customFormat="false" ht="15" hidden="false" customHeight="false" outlineLevel="0" collapsed="false">
      <c r="A6" s="23" t="s">
        <v>87</v>
      </c>
      <c r="B6" s="24" t="n">
        <v>1</v>
      </c>
      <c r="C6" s="24" t="s">
        <v>43</v>
      </c>
      <c r="D6" s="25" t="n">
        <v>1800</v>
      </c>
      <c r="E6" s="25" t="n">
        <f aca="false">B6*D6</f>
        <v>1800</v>
      </c>
      <c r="F6" s="25" t="n">
        <f aca="false">B6*3200</f>
        <v>3200</v>
      </c>
      <c r="G6" s="26" t="s">
        <v>50</v>
      </c>
    </row>
    <row r="7" customFormat="false" ht="15" hidden="false" customHeight="false" outlineLevel="0" collapsed="false">
      <c r="A7" s="23" t="s">
        <v>75</v>
      </c>
      <c r="B7" s="24" t="n">
        <v>2</v>
      </c>
      <c r="C7" s="24" t="s">
        <v>55</v>
      </c>
      <c r="D7" s="25" t="n">
        <v>35</v>
      </c>
      <c r="E7" s="25" t="n">
        <f aca="false">B7*D7</f>
        <v>70</v>
      </c>
      <c r="F7" s="25" t="n">
        <f aca="false">B7*130</f>
        <v>260</v>
      </c>
      <c r="G7" s="26" t="s">
        <v>76</v>
      </c>
    </row>
    <row r="8" customFormat="false" ht="15" hidden="false" customHeight="false" outlineLevel="0" collapsed="false">
      <c r="A8" s="23" t="s">
        <v>88</v>
      </c>
      <c r="B8" s="24" t="n">
        <v>1</v>
      </c>
      <c r="C8" s="24" t="s">
        <v>43</v>
      </c>
      <c r="D8" s="25" t="n">
        <v>150</v>
      </c>
      <c r="E8" s="25" t="n">
        <f aca="false">B8*D8</f>
        <v>150</v>
      </c>
      <c r="F8" s="25" t="n">
        <f aca="false">B8*250</f>
        <v>250</v>
      </c>
      <c r="G8" s="26" t="s">
        <v>50</v>
      </c>
    </row>
    <row r="9" customFormat="false" ht="15" hidden="false" customHeight="false" outlineLevel="0" collapsed="false">
      <c r="A9" s="23" t="s">
        <v>69</v>
      </c>
      <c r="B9" s="24" t="n">
        <v>120</v>
      </c>
      <c r="C9" s="24" t="s">
        <v>52</v>
      </c>
      <c r="D9" s="25" t="n">
        <v>1</v>
      </c>
      <c r="E9" s="25" t="n">
        <f aca="false">B9*D9</f>
        <v>120</v>
      </c>
      <c r="F9" s="25" t="n">
        <f aca="false">B9*2.5</f>
        <v>300</v>
      </c>
      <c r="G9" s="26" t="s">
        <v>70</v>
      </c>
    </row>
    <row r="10" customFormat="false" ht="15" hidden="false" customHeight="false" outlineLevel="0" collapsed="false">
      <c r="A10" s="7" t="s">
        <v>71</v>
      </c>
      <c r="B10" s="27"/>
      <c r="C10" s="27"/>
      <c r="D10" s="27"/>
      <c r="E10" s="8" t="n">
        <f aca="false">SUM(E5:E9)</f>
        <v>2860</v>
      </c>
      <c r="F10" s="8" t="n">
        <f aca="false">SUM(F5:F9)</f>
        <v>5210</v>
      </c>
      <c r="G10" s="27"/>
    </row>
    <row r="11" customFormat="false" ht="15" hidden="false" customHeight="false" outlineLevel="0" collapsed="false">
      <c r="A11" s="28" t="s">
        <v>72</v>
      </c>
      <c r="B11" s="12"/>
      <c r="C11" s="12"/>
      <c r="D11" s="12"/>
      <c r="E11" s="29" t="n">
        <f aca="false">E10+F10</f>
        <v>8070</v>
      </c>
      <c r="F11" s="29"/>
      <c r="G11" s="12"/>
    </row>
  </sheetData>
  <mergeCells count="2">
    <mergeCell ref="A1:G1"/>
    <mergeCell ref="E11:F11"/>
  </mergeCells>
  <hyperlinks>
    <hyperlink ref="G5" r:id="rId1" display="Home Depot – Slate Floor Tile"/>
    <hyperlink ref="G6" r:id="rId2" display="Home Depot – Dimensional Lumber &amp; Trim"/>
    <hyperlink ref="G7" r:id="rId3" display="Angi – Recessed Lighting Cost"/>
    <hyperlink ref="G8" r:id="rId4" display="Home Depot – Dimensional Lumber &amp; Trim"/>
    <hyperlink ref="G9" r:id="rId5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11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89</v>
      </c>
      <c r="B5" s="24" t="n">
        <v>1</v>
      </c>
      <c r="C5" s="24" t="s">
        <v>43</v>
      </c>
      <c r="D5" s="25" t="n">
        <v>200</v>
      </c>
      <c r="E5" s="25" t="n">
        <f aca="false">B5*D5</f>
        <v>200</v>
      </c>
      <c r="F5" s="25" t="n">
        <f aca="false">B5*700</f>
        <v>700</v>
      </c>
      <c r="G5" s="26" t="s">
        <v>44</v>
      </c>
    </row>
    <row r="6" customFormat="false" ht="15" hidden="false" customHeight="false" outlineLevel="0" collapsed="false">
      <c r="A6" s="23" t="s">
        <v>90</v>
      </c>
      <c r="B6" s="24" t="n">
        <v>70</v>
      </c>
      <c r="C6" s="24" t="s">
        <v>52</v>
      </c>
      <c r="D6" s="25" t="n">
        <v>6</v>
      </c>
      <c r="E6" s="25" t="n">
        <f aca="false">B6*D6</f>
        <v>420</v>
      </c>
      <c r="F6" s="25" t="n">
        <f aca="false">B6*10</f>
        <v>700</v>
      </c>
      <c r="G6" s="26" t="s">
        <v>91</v>
      </c>
    </row>
    <row r="7" customFormat="false" ht="15" hidden="false" customHeight="false" outlineLevel="0" collapsed="false">
      <c r="A7" s="23" t="s">
        <v>92</v>
      </c>
      <c r="B7" s="24" t="n">
        <v>1</v>
      </c>
      <c r="C7" s="24" t="s">
        <v>55</v>
      </c>
      <c r="D7" s="25" t="n">
        <v>0</v>
      </c>
      <c r="E7" s="25" t="n">
        <f aca="false">B7*D7</f>
        <v>0</v>
      </c>
      <c r="F7" s="25" t="n">
        <f aca="false">B7*500</f>
        <v>500</v>
      </c>
      <c r="G7" s="26" t="s">
        <v>44</v>
      </c>
    </row>
    <row r="8" customFormat="false" ht="15" hidden="false" customHeight="false" outlineLevel="0" collapsed="false">
      <c r="A8" s="23" t="s">
        <v>93</v>
      </c>
      <c r="B8" s="24" t="n">
        <v>60</v>
      </c>
      <c r="C8" s="24" t="s">
        <v>52</v>
      </c>
      <c r="D8" s="25" t="n">
        <v>8</v>
      </c>
      <c r="E8" s="25" t="n">
        <f aca="false">B8*D8</f>
        <v>480</v>
      </c>
      <c r="F8" s="25" t="n">
        <f aca="false">B8*13</f>
        <v>780</v>
      </c>
      <c r="G8" s="26" t="s">
        <v>60</v>
      </c>
    </row>
    <row r="9" customFormat="false" ht="15" hidden="false" customHeight="false" outlineLevel="0" collapsed="false">
      <c r="A9" s="23" t="s">
        <v>94</v>
      </c>
      <c r="B9" s="24" t="n">
        <v>80</v>
      </c>
      <c r="C9" s="24" t="s">
        <v>52</v>
      </c>
      <c r="D9" s="25" t="n">
        <v>3</v>
      </c>
      <c r="E9" s="25" t="n">
        <f aca="false">B9*D9</f>
        <v>240</v>
      </c>
      <c r="F9" s="25" t="n">
        <f aca="false">B9*3</f>
        <v>240</v>
      </c>
      <c r="G9" s="26" t="s">
        <v>82</v>
      </c>
    </row>
    <row r="10" customFormat="false" ht="15" hidden="false" customHeight="false" outlineLevel="0" collapsed="false">
      <c r="A10" s="23" t="s">
        <v>95</v>
      </c>
      <c r="B10" s="24" t="n">
        <v>1</v>
      </c>
      <c r="C10" s="24" t="s">
        <v>55</v>
      </c>
      <c r="D10" s="25" t="n">
        <v>550</v>
      </c>
      <c r="E10" s="25" t="n">
        <f aca="false">B10*D10</f>
        <v>550</v>
      </c>
      <c r="F10" s="25" t="n">
        <f aca="false">B10*200</f>
        <v>200</v>
      </c>
      <c r="G10" s="26" t="s">
        <v>96</v>
      </c>
    </row>
    <row r="11" customFormat="false" ht="15" hidden="false" customHeight="false" outlineLevel="0" collapsed="false">
      <c r="A11" s="23" t="s">
        <v>97</v>
      </c>
      <c r="B11" s="24" t="n">
        <v>1</v>
      </c>
      <c r="C11" s="24" t="s">
        <v>55</v>
      </c>
      <c r="D11" s="25" t="n">
        <v>220</v>
      </c>
      <c r="E11" s="25" t="n">
        <f aca="false">B11*D11</f>
        <v>220</v>
      </c>
      <c r="F11" s="25" t="n">
        <f aca="false">B11*180</f>
        <v>180</v>
      </c>
      <c r="G11" s="26" t="s">
        <v>98</v>
      </c>
    </row>
    <row r="12" customFormat="false" ht="15" hidden="false" customHeight="false" outlineLevel="0" collapsed="false">
      <c r="A12" s="23" t="s">
        <v>99</v>
      </c>
      <c r="B12" s="24" t="n">
        <v>1</v>
      </c>
      <c r="C12" s="24" t="s">
        <v>62</v>
      </c>
      <c r="D12" s="25" t="n">
        <v>450</v>
      </c>
      <c r="E12" s="25" t="n">
        <f aca="false">B12*D12</f>
        <v>450</v>
      </c>
      <c r="F12" s="25" t="n">
        <f aca="false">B12*350</f>
        <v>350</v>
      </c>
      <c r="G12" s="26" t="s">
        <v>100</v>
      </c>
    </row>
    <row r="13" customFormat="false" ht="15" hidden="false" customHeight="false" outlineLevel="0" collapsed="false">
      <c r="A13" s="23" t="s">
        <v>101</v>
      </c>
      <c r="B13" s="24" t="n">
        <v>1</v>
      </c>
      <c r="C13" s="24" t="s">
        <v>43</v>
      </c>
      <c r="D13" s="25" t="n">
        <v>200</v>
      </c>
      <c r="E13" s="25" t="n">
        <f aca="false">B13*D13</f>
        <v>200</v>
      </c>
      <c r="F13" s="25" t="n">
        <f aca="false">B13*250</f>
        <v>250</v>
      </c>
      <c r="G13" s="26" t="s">
        <v>65</v>
      </c>
    </row>
    <row r="14" customFormat="false" ht="15" hidden="false" customHeight="false" outlineLevel="0" collapsed="false">
      <c r="A14" s="23" t="s">
        <v>102</v>
      </c>
      <c r="B14" s="24" t="n">
        <v>1</v>
      </c>
      <c r="C14" s="24" t="s">
        <v>43</v>
      </c>
      <c r="D14" s="25" t="n">
        <v>0</v>
      </c>
      <c r="E14" s="25" t="n">
        <f aca="false">B14*D14</f>
        <v>0</v>
      </c>
      <c r="F14" s="25" t="n">
        <f aca="false">B14*500</f>
        <v>500</v>
      </c>
      <c r="G14" s="26" t="s">
        <v>44</v>
      </c>
    </row>
    <row r="15" customFormat="false" ht="15" hidden="false" customHeight="false" outlineLevel="0" collapsed="false">
      <c r="A15" s="23" t="s">
        <v>103</v>
      </c>
      <c r="B15" s="24" t="n">
        <v>70</v>
      </c>
      <c r="C15" s="24" t="s">
        <v>52</v>
      </c>
      <c r="D15" s="25" t="n">
        <v>1</v>
      </c>
      <c r="E15" s="25" t="n">
        <f aca="false">B15*D15</f>
        <v>70</v>
      </c>
      <c r="F15" s="25" t="n">
        <f aca="false">B15*2.5</f>
        <v>175</v>
      </c>
      <c r="G15" s="26" t="s">
        <v>70</v>
      </c>
    </row>
    <row r="16" customFormat="false" ht="15" hidden="false" customHeight="false" outlineLevel="0" collapsed="false">
      <c r="A16" s="7" t="s">
        <v>71</v>
      </c>
      <c r="B16" s="27"/>
      <c r="C16" s="27"/>
      <c r="D16" s="27"/>
      <c r="E16" s="8" t="n">
        <f aca="false">SUM(E5:E15)</f>
        <v>2830</v>
      </c>
      <c r="F16" s="8" t="n">
        <f aca="false">SUM(F5:F15)</f>
        <v>4575</v>
      </c>
      <c r="G16" s="27"/>
    </row>
    <row r="17" customFormat="false" ht="15" hidden="false" customHeight="false" outlineLevel="0" collapsed="false">
      <c r="A17" s="28" t="s">
        <v>72</v>
      </c>
      <c r="B17" s="12"/>
      <c r="C17" s="12"/>
      <c r="D17" s="12"/>
      <c r="E17" s="29" t="n">
        <f aca="false">E16+F16</f>
        <v>7405</v>
      </c>
      <c r="F17" s="29"/>
      <c r="G17" s="12"/>
    </row>
  </sheetData>
  <mergeCells count="2">
    <mergeCell ref="A1:G1"/>
    <mergeCell ref="E17:F17"/>
  </mergeCells>
  <hyperlinks>
    <hyperlink ref="G5" r:id="rId1" display="ZipRecruiter – VT Plumber Rate"/>
    <hyperlink ref="G6" r:id="rId2" display="Home Depot – Saltillo / Terracotta Tile"/>
    <hyperlink ref="G7" r:id="rId3" display="ZipRecruiter – VT Plumber Rate"/>
    <hyperlink ref="G8" r:id="rId4" display="Home Depot – Ceramic Wall Tile"/>
    <hyperlink ref="G9" r:id="rId5" display="Home Depot – Pine Tongue &amp; Groove Paneling"/>
    <hyperlink ref="G10" r:id="rId6" display="Home Depot – Bathroom Vanities w/ Tops"/>
    <hyperlink ref="G11" r:id="rId7" display="Home Depot – Toilets"/>
    <hyperlink ref="G12" r:id="rId8" display="Home Depot – Bathroom / Shower Faucets"/>
    <hyperlink ref="G13" r:id="rId9" display="Home Depot – Lighting Fixtures"/>
    <hyperlink ref="G14" r:id="rId10" display="ZipRecruiter – VT Plumber Rate"/>
    <hyperlink ref="G15" r:id="rId11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12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104</v>
      </c>
      <c r="B5" s="24" t="n">
        <v>1</v>
      </c>
      <c r="C5" s="24" t="s">
        <v>43</v>
      </c>
      <c r="D5" s="25" t="n">
        <v>350</v>
      </c>
      <c r="E5" s="25" t="n">
        <f aca="false">B5*D5</f>
        <v>350</v>
      </c>
      <c r="F5" s="25" t="n">
        <f aca="false">B5*900</f>
        <v>900</v>
      </c>
      <c r="G5" s="26" t="s">
        <v>44</v>
      </c>
    </row>
    <row r="6" customFormat="false" ht="15" hidden="false" customHeight="false" outlineLevel="0" collapsed="false">
      <c r="A6" s="23" t="s">
        <v>105</v>
      </c>
      <c r="B6" s="24" t="n">
        <v>90</v>
      </c>
      <c r="C6" s="24" t="s">
        <v>52</v>
      </c>
      <c r="D6" s="25" t="n">
        <v>7</v>
      </c>
      <c r="E6" s="25" t="n">
        <f aca="false">B6*D6</f>
        <v>630</v>
      </c>
      <c r="F6" s="25" t="n">
        <f aca="false">B6*11</f>
        <v>990</v>
      </c>
      <c r="G6" s="26" t="s">
        <v>91</v>
      </c>
    </row>
    <row r="7" customFormat="false" ht="15" hidden="false" customHeight="false" outlineLevel="0" collapsed="false">
      <c r="A7" s="23" t="s">
        <v>106</v>
      </c>
      <c r="B7" s="24" t="n">
        <v>1</v>
      </c>
      <c r="C7" s="24" t="s">
        <v>55</v>
      </c>
      <c r="D7" s="25" t="n">
        <v>1700</v>
      </c>
      <c r="E7" s="25" t="n">
        <f aca="false">B7*D7</f>
        <v>1700</v>
      </c>
      <c r="F7" s="25" t="n">
        <f aca="false">B7*500</f>
        <v>500</v>
      </c>
      <c r="G7" s="26" t="s">
        <v>107</v>
      </c>
    </row>
    <row r="8" customFormat="false" ht="15" hidden="false" customHeight="false" outlineLevel="0" collapsed="false">
      <c r="A8" s="23" t="s">
        <v>108</v>
      </c>
      <c r="B8" s="24" t="n">
        <v>1</v>
      </c>
      <c r="C8" s="24" t="s">
        <v>55</v>
      </c>
      <c r="D8" s="25" t="n">
        <v>650</v>
      </c>
      <c r="E8" s="25" t="n">
        <f aca="false">B8*D8</f>
        <v>650</v>
      </c>
      <c r="F8" s="25" t="n">
        <f aca="false">B8*450</f>
        <v>450</v>
      </c>
      <c r="G8" s="26" t="s">
        <v>109</v>
      </c>
    </row>
    <row r="9" customFormat="false" ht="15" hidden="false" customHeight="false" outlineLevel="0" collapsed="false">
      <c r="A9" s="23" t="s">
        <v>110</v>
      </c>
      <c r="B9" s="24" t="n">
        <v>70</v>
      </c>
      <c r="C9" s="24" t="s">
        <v>52</v>
      </c>
      <c r="D9" s="25" t="n">
        <v>6</v>
      </c>
      <c r="E9" s="25" t="n">
        <f aca="false">B9*D9</f>
        <v>420</v>
      </c>
      <c r="F9" s="25" t="n">
        <f aca="false">B9*13</f>
        <v>910</v>
      </c>
      <c r="G9" s="26" t="s">
        <v>60</v>
      </c>
    </row>
    <row r="10" customFormat="false" ht="15" hidden="false" customHeight="false" outlineLevel="0" collapsed="false">
      <c r="A10" s="23" t="s">
        <v>111</v>
      </c>
      <c r="B10" s="24" t="n">
        <v>1</v>
      </c>
      <c r="C10" s="24" t="s">
        <v>43</v>
      </c>
      <c r="D10" s="25" t="n">
        <v>900</v>
      </c>
      <c r="E10" s="25" t="n">
        <f aca="false">B10*D10</f>
        <v>900</v>
      </c>
      <c r="F10" s="25" t="n">
        <f aca="false">B10*350</f>
        <v>350</v>
      </c>
      <c r="G10" s="26" t="s">
        <v>96</v>
      </c>
    </row>
    <row r="11" customFormat="false" ht="15" hidden="false" customHeight="false" outlineLevel="0" collapsed="false">
      <c r="A11" s="23" t="s">
        <v>97</v>
      </c>
      <c r="B11" s="24" t="n">
        <v>1</v>
      </c>
      <c r="C11" s="24" t="s">
        <v>55</v>
      </c>
      <c r="D11" s="25" t="n">
        <v>220</v>
      </c>
      <c r="E11" s="25" t="n">
        <f aca="false">B11*D11</f>
        <v>220</v>
      </c>
      <c r="F11" s="25" t="n">
        <f aca="false">B11*180</f>
        <v>180</v>
      </c>
      <c r="G11" s="26" t="s">
        <v>98</v>
      </c>
    </row>
    <row r="12" customFormat="false" ht="15" hidden="false" customHeight="false" outlineLevel="0" collapsed="false">
      <c r="A12" s="23" t="s">
        <v>112</v>
      </c>
      <c r="B12" s="24" t="n">
        <v>1</v>
      </c>
      <c r="C12" s="24" t="s">
        <v>43</v>
      </c>
      <c r="D12" s="25" t="n">
        <v>350</v>
      </c>
      <c r="E12" s="25" t="n">
        <f aca="false">B12*D12</f>
        <v>350</v>
      </c>
      <c r="F12" s="25" t="n">
        <f aca="false">B12*300</f>
        <v>300</v>
      </c>
      <c r="G12" s="26" t="s">
        <v>65</v>
      </c>
    </row>
    <row r="13" customFormat="false" ht="15" hidden="false" customHeight="false" outlineLevel="0" collapsed="false">
      <c r="A13" s="23" t="s">
        <v>113</v>
      </c>
      <c r="B13" s="24" t="n">
        <v>1</v>
      </c>
      <c r="C13" s="24" t="s">
        <v>43</v>
      </c>
      <c r="D13" s="25" t="n">
        <v>300</v>
      </c>
      <c r="E13" s="25" t="n">
        <f aca="false">B13*D13</f>
        <v>300</v>
      </c>
      <c r="F13" s="25" t="n">
        <f aca="false">B13*1200</f>
        <v>1200</v>
      </c>
      <c r="G13" s="26" t="s">
        <v>44</v>
      </c>
    </row>
    <row r="14" customFormat="false" ht="15" hidden="false" customHeight="false" outlineLevel="0" collapsed="false">
      <c r="A14" s="23" t="s">
        <v>103</v>
      </c>
      <c r="B14" s="24" t="n">
        <v>90</v>
      </c>
      <c r="C14" s="24" t="s">
        <v>52</v>
      </c>
      <c r="D14" s="25" t="n">
        <v>1</v>
      </c>
      <c r="E14" s="25" t="n">
        <f aca="false">B14*D14</f>
        <v>90</v>
      </c>
      <c r="F14" s="25" t="n">
        <f aca="false">B14*2.5</f>
        <v>225</v>
      </c>
      <c r="G14" s="26" t="s">
        <v>70</v>
      </c>
    </row>
    <row r="15" customFormat="false" ht="15" hidden="false" customHeight="false" outlineLevel="0" collapsed="false">
      <c r="A15" s="7" t="s">
        <v>71</v>
      </c>
      <c r="B15" s="27"/>
      <c r="C15" s="27"/>
      <c r="D15" s="27"/>
      <c r="E15" s="8" t="n">
        <f aca="false">SUM(E5:E14)</f>
        <v>5610</v>
      </c>
      <c r="F15" s="8" t="n">
        <f aca="false">SUM(F5:F14)</f>
        <v>6005</v>
      </c>
      <c r="G15" s="27"/>
    </row>
    <row r="16" customFormat="false" ht="15" hidden="false" customHeight="false" outlineLevel="0" collapsed="false">
      <c r="A16" s="28" t="s">
        <v>72</v>
      </c>
      <c r="B16" s="12"/>
      <c r="C16" s="12"/>
      <c r="D16" s="12"/>
      <c r="E16" s="29" t="n">
        <f aca="false">E15+F15</f>
        <v>11615</v>
      </c>
      <c r="F16" s="29"/>
      <c r="G16" s="12"/>
    </row>
  </sheetData>
  <mergeCells count="2">
    <mergeCell ref="A1:G1"/>
    <mergeCell ref="E16:F16"/>
  </mergeCells>
  <hyperlinks>
    <hyperlink ref="G5" r:id="rId1" display="ZipRecruiter – VT Plumber Rate"/>
    <hyperlink ref="G6" r:id="rId2" display="Home Depot – Saltillo / Terracotta Tile"/>
    <hyperlink ref="G7" r:id="rId3" display="Home Depot – Cast Iron Clawfoot Tubs"/>
    <hyperlink ref="G8" r:id="rId4" display="Home Depot – Freestanding Tub Faucets"/>
    <hyperlink ref="G9" r:id="rId5" display="Home Depot – Ceramic Wall Tile"/>
    <hyperlink ref="G10" r:id="rId6" display="Home Depot – Bathroom Vanities w/ Tops"/>
    <hyperlink ref="G11" r:id="rId7" display="Home Depot – Toilets"/>
    <hyperlink ref="G12" r:id="rId8" display="Home Depot – Lighting Fixtures"/>
    <hyperlink ref="G13" r:id="rId9" display="ZipRecruiter – VT Plumber Rate"/>
    <hyperlink ref="G14" r:id="rId10" display="Home Depot – Interior Pai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13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114</v>
      </c>
      <c r="B5" s="24" t="n">
        <v>520</v>
      </c>
      <c r="C5" s="24" t="s">
        <v>52</v>
      </c>
      <c r="D5" s="25" t="n">
        <v>3</v>
      </c>
      <c r="E5" s="25" t="n">
        <f aca="false">B5*D5</f>
        <v>1560</v>
      </c>
      <c r="F5" s="25" t="n">
        <f aca="false">B5*3</f>
        <v>1560</v>
      </c>
      <c r="G5" s="26" t="s">
        <v>82</v>
      </c>
    </row>
    <row r="6" customFormat="false" ht="15" hidden="false" customHeight="false" outlineLevel="0" collapsed="false">
      <c r="A6" s="23" t="s">
        <v>115</v>
      </c>
      <c r="B6" s="24" t="n">
        <v>180</v>
      </c>
      <c r="C6" s="24" t="s">
        <v>52</v>
      </c>
      <c r="D6" s="25" t="n">
        <v>1.5</v>
      </c>
      <c r="E6" s="25" t="n">
        <f aca="false">B6*D6</f>
        <v>270</v>
      </c>
      <c r="F6" s="25" t="n">
        <f aca="false">B6*4</f>
        <v>720</v>
      </c>
      <c r="G6" s="26" t="s">
        <v>68</v>
      </c>
    </row>
    <row r="7" customFormat="false" ht="15" hidden="false" customHeight="false" outlineLevel="0" collapsed="false">
      <c r="A7" s="23" t="s">
        <v>116</v>
      </c>
      <c r="B7" s="24" t="n">
        <v>1</v>
      </c>
      <c r="C7" s="24" t="s">
        <v>43</v>
      </c>
      <c r="D7" s="25" t="n">
        <v>400</v>
      </c>
      <c r="E7" s="25" t="n">
        <f aca="false">B7*D7</f>
        <v>400</v>
      </c>
      <c r="F7" s="25" t="n">
        <f aca="false">B7*700</f>
        <v>700</v>
      </c>
      <c r="G7" s="26" t="s">
        <v>50</v>
      </c>
    </row>
    <row r="8" customFormat="false" ht="15" hidden="false" customHeight="false" outlineLevel="0" collapsed="false">
      <c r="A8" s="23" t="s">
        <v>77</v>
      </c>
      <c r="B8" s="24" t="n">
        <v>1</v>
      </c>
      <c r="C8" s="24" t="s">
        <v>55</v>
      </c>
      <c r="D8" s="25" t="n">
        <v>750</v>
      </c>
      <c r="E8" s="25" t="n">
        <f aca="false">B8*D8</f>
        <v>750</v>
      </c>
      <c r="F8" s="25" t="n">
        <f aca="false">B8*2000</f>
        <v>2000</v>
      </c>
      <c r="G8" s="26" t="s">
        <v>78</v>
      </c>
    </row>
    <row r="9" customFormat="false" ht="15" hidden="false" customHeight="false" outlineLevel="0" collapsed="false">
      <c r="A9" s="23" t="s">
        <v>117</v>
      </c>
      <c r="B9" s="24" t="n">
        <v>1</v>
      </c>
      <c r="C9" s="24" t="s">
        <v>55</v>
      </c>
      <c r="D9" s="25" t="n">
        <v>100</v>
      </c>
      <c r="E9" s="25" t="n">
        <f aca="false">B9*D9</f>
        <v>100</v>
      </c>
      <c r="F9" s="25" t="n">
        <f aca="false">B9*200</f>
        <v>200</v>
      </c>
      <c r="G9" s="26" t="s">
        <v>50</v>
      </c>
    </row>
    <row r="10" customFormat="false" ht="15" hidden="false" customHeight="false" outlineLevel="0" collapsed="false">
      <c r="A10" s="23" t="s">
        <v>118</v>
      </c>
      <c r="B10" s="24" t="n">
        <v>1</v>
      </c>
      <c r="C10" s="24" t="s">
        <v>43</v>
      </c>
      <c r="D10" s="25" t="n">
        <v>200</v>
      </c>
      <c r="E10" s="25" t="n">
        <f aca="false">B10*D10</f>
        <v>200</v>
      </c>
      <c r="F10" s="25" t="n">
        <f aca="false">B10*350</f>
        <v>350</v>
      </c>
      <c r="G10" s="26" t="s">
        <v>65</v>
      </c>
    </row>
    <row r="11" customFormat="false" ht="15" hidden="false" customHeight="false" outlineLevel="0" collapsed="false">
      <c r="A11" s="23" t="s">
        <v>119</v>
      </c>
      <c r="B11" s="24" t="n">
        <v>1</v>
      </c>
      <c r="C11" s="24" t="s">
        <v>55</v>
      </c>
      <c r="D11" s="25" t="n">
        <v>150</v>
      </c>
      <c r="E11" s="25" t="n">
        <f aca="false">B11*D11</f>
        <v>150</v>
      </c>
      <c r="F11" s="25" t="n">
        <f aca="false">B11*150</f>
        <v>150</v>
      </c>
      <c r="G11" s="26" t="s">
        <v>50</v>
      </c>
    </row>
    <row r="12" customFormat="false" ht="15" hidden="false" customHeight="false" outlineLevel="0" collapsed="false">
      <c r="A12" s="7" t="s">
        <v>71</v>
      </c>
      <c r="B12" s="27"/>
      <c r="C12" s="27"/>
      <c r="D12" s="27"/>
      <c r="E12" s="8" t="n">
        <f aca="false">SUM(E5:E11)</f>
        <v>3430</v>
      </c>
      <c r="F12" s="8" t="n">
        <f aca="false">SUM(F5:F11)</f>
        <v>5680</v>
      </c>
      <c r="G12" s="27"/>
    </row>
    <row r="13" customFormat="false" ht="15" hidden="false" customHeight="false" outlineLevel="0" collapsed="false">
      <c r="A13" s="28" t="s">
        <v>72</v>
      </c>
      <c r="B13" s="12"/>
      <c r="C13" s="12"/>
      <c r="D13" s="12"/>
      <c r="E13" s="29" t="n">
        <f aca="false">E12+F12</f>
        <v>9110</v>
      </c>
      <c r="F13" s="29"/>
      <c r="G13" s="12"/>
    </row>
  </sheetData>
  <mergeCells count="2">
    <mergeCell ref="A1:G1"/>
    <mergeCell ref="E13:F13"/>
  </mergeCells>
  <hyperlinks>
    <hyperlink ref="G5" r:id="rId1" display="Home Depot – Pine Tongue &amp; Groove Paneling"/>
    <hyperlink ref="G6" r:id="rId2" display="Angi – Hardwood Refinishing Cost"/>
    <hyperlink ref="G7" r:id="rId3" display="Home Depot – Dimensional Lumber &amp; Trim"/>
    <hyperlink ref="G8" r:id="rId4" display="Home Depot – Pioneer 12k BTU Mini-Split Heat Pump"/>
    <hyperlink ref="G9" r:id="rId5" display="Home Depot – Dimensional Lumber &amp; Trim"/>
    <hyperlink ref="G10" r:id="rId6" display="Home Depot – Lighting Fixtures"/>
    <hyperlink ref="G11" r:id="rId7" display="Home Depot – Dimensional Lumber &amp; Tri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14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114</v>
      </c>
      <c r="B5" s="24" t="n">
        <v>520</v>
      </c>
      <c r="C5" s="24" t="s">
        <v>52</v>
      </c>
      <c r="D5" s="25" t="n">
        <v>3</v>
      </c>
      <c r="E5" s="25" t="n">
        <f aca="false">B5*D5</f>
        <v>1560</v>
      </c>
      <c r="F5" s="25" t="n">
        <f aca="false">B5*3</f>
        <v>1560</v>
      </c>
      <c r="G5" s="26" t="s">
        <v>82</v>
      </c>
    </row>
    <row r="6" customFormat="false" ht="15" hidden="false" customHeight="false" outlineLevel="0" collapsed="false">
      <c r="A6" s="23" t="s">
        <v>115</v>
      </c>
      <c r="B6" s="24" t="n">
        <v>180</v>
      </c>
      <c r="C6" s="24" t="s">
        <v>52</v>
      </c>
      <c r="D6" s="25" t="n">
        <v>1.5</v>
      </c>
      <c r="E6" s="25" t="n">
        <f aca="false">B6*D6</f>
        <v>270</v>
      </c>
      <c r="F6" s="25" t="n">
        <f aca="false">B6*4</f>
        <v>720</v>
      </c>
      <c r="G6" s="26" t="s">
        <v>68</v>
      </c>
    </row>
    <row r="7" customFormat="false" ht="15" hidden="false" customHeight="false" outlineLevel="0" collapsed="false">
      <c r="A7" s="23" t="s">
        <v>77</v>
      </c>
      <c r="B7" s="24" t="n">
        <v>1</v>
      </c>
      <c r="C7" s="24" t="s">
        <v>55</v>
      </c>
      <c r="D7" s="25" t="n">
        <v>750</v>
      </c>
      <c r="E7" s="25" t="n">
        <f aca="false">B7*D7</f>
        <v>750</v>
      </c>
      <c r="F7" s="25" t="n">
        <f aca="false">B7*2000</f>
        <v>2000</v>
      </c>
      <c r="G7" s="26" t="s">
        <v>78</v>
      </c>
    </row>
    <row r="8" customFormat="false" ht="15" hidden="false" customHeight="false" outlineLevel="0" collapsed="false">
      <c r="A8" s="23" t="s">
        <v>117</v>
      </c>
      <c r="B8" s="24" t="n">
        <v>1</v>
      </c>
      <c r="C8" s="24" t="s">
        <v>55</v>
      </c>
      <c r="D8" s="25" t="n">
        <v>100</v>
      </c>
      <c r="E8" s="25" t="n">
        <f aca="false">B8*D8</f>
        <v>100</v>
      </c>
      <c r="F8" s="25" t="n">
        <f aca="false">B8*200</f>
        <v>200</v>
      </c>
      <c r="G8" s="26" t="s">
        <v>50</v>
      </c>
    </row>
    <row r="9" customFormat="false" ht="15" hidden="false" customHeight="false" outlineLevel="0" collapsed="false">
      <c r="A9" s="23" t="s">
        <v>118</v>
      </c>
      <c r="B9" s="24" t="n">
        <v>1</v>
      </c>
      <c r="C9" s="24" t="s">
        <v>43</v>
      </c>
      <c r="D9" s="25" t="n">
        <v>180</v>
      </c>
      <c r="E9" s="25" t="n">
        <f aca="false">B9*D9</f>
        <v>180</v>
      </c>
      <c r="F9" s="25" t="n">
        <f aca="false">B9*300</f>
        <v>300</v>
      </c>
      <c r="G9" s="26" t="s">
        <v>65</v>
      </c>
    </row>
    <row r="10" customFormat="false" ht="15" hidden="false" customHeight="false" outlineLevel="0" collapsed="false">
      <c r="A10" s="23" t="s">
        <v>120</v>
      </c>
      <c r="B10" s="24" t="n">
        <v>1</v>
      </c>
      <c r="C10" s="24" t="s">
        <v>43</v>
      </c>
      <c r="D10" s="25" t="n">
        <v>150</v>
      </c>
      <c r="E10" s="25" t="n">
        <f aca="false">B10*D10</f>
        <v>150</v>
      </c>
      <c r="F10" s="25" t="n">
        <f aca="false">B10*250</f>
        <v>250</v>
      </c>
      <c r="G10" s="26" t="s">
        <v>50</v>
      </c>
    </row>
    <row r="11" customFormat="false" ht="15" hidden="false" customHeight="false" outlineLevel="0" collapsed="false">
      <c r="A11" s="7" t="s">
        <v>71</v>
      </c>
      <c r="B11" s="27"/>
      <c r="C11" s="27"/>
      <c r="D11" s="27"/>
      <c r="E11" s="8" t="n">
        <f aca="false">SUM(E5:E10)</f>
        <v>3010</v>
      </c>
      <c r="F11" s="8" t="n">
        <f aca="false">SUM(F5:F10)</f>
        <v>5030</v>
      </c>
      <c r="G11" s="27"/>
    </row>
    <row r="12" customFormat="false" ht="15" hidden="false" customHeight="false" outlineLevel="0" collapsed="false">
      <c r="A12" s="28" t="s">
        <v>72</v>
      </c>
      <c r="B12" s="12"/>
      <c r="C12" s="12"/>
      <c r="D12" s="12"/>
      <c r="E12" s="29" t="n">
        <f aca="false">E11+F11</f>
        <v>8040</v>
      </c>
      <c r="F12" s="29"/>
      <c r="G12" s="12"/>
    </row>
  </sheetData>
  <mergeCells count="2">
    <mergeCell ref="A1:G1"/>
    <mergeCell ref="E12:F12"/>
  </mergeCells>
  <hyperlinks>
    <hyperlink ref="G5" r:id="rId1" display="Home Depot – Pine Tongue &amp; Groove Paneling"/>
    <hyperlink ref="G6" r:id="rId2" display="Angi – Hardwood Refinishing Cost"/>
    <hyperlink ref="G7" r:id="rId3" display="Home Depot – Pioneer 12k BTU Mini-Split Heat Pump"/>
    <hyperlink ref="G8" r:id="rId4" display="Home Depot – Dimensional Lumber &amp; Trim"/>
    <hyperlink ref="G9" r:id="rId5" display="Home Depot – Lighting Fixtures"/>
    <hyperlink ref="G10" r:id="rId6" display="Home Depot – Dimensional Lumber &amp; Tri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21" t="s">
        <v>15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</row>
    <row r="5" customFormat="false" ht="15" hidden="false" customHeight="false" outlineLevel="0" collapsed="false">
      <c r="A5" s="23" t="s">
        <v>121</v>
      </c>
      <c r="B5" s="24" t="n">
        <v>1</v>
      </c>
      <c r="C5" s="24" t="s">
        <v>43</v>
      </c>
      <c r="D5" s="25" t="n">
        <v>0</v>
      </c>
      <c r="E5" s="25" t="n">
        <f aca="false">B5*D5</f>
        <v>0</v>
      </c>
      <c r="F5" s="25" t="n">
        <f aca="false">B5*900</f>
        <v>900</v>
      </c>
      <c r="G5" s="26" t="s">
        <v>122</v>
      </c>
    </row>
    <row r="6" customFormat="false" ht="15" hidden="false" customHeight="false" outlineLevel="0" collapsed="false">
      <c r="A6" s="23" t="s">
        <v>123</v>
      </c>
      <c r="B6" s="24" t="n">
        <v>1</v>
      </c>
      <c r="C6" s="24" t="s">
        <v>43</v>
      </c>
      <c r="D6" s="25" t="n">
        <v>0</v>
      </c>
      <c r="E6" s="25" t="n">
        <f aca="false">B6*D6</f>
        <v>0</v>
      </c>
      <c r="F6" s="25" t="n">
        <f aca="false">B6*2100</f>
        <v>2100</v>
      </c>
      <c r="G6" s="26" t="s">
        <v>124</v>
      </c>
    </row>
    <row r="7" customFormat="false" ht="15" hidden="false" customHeight="false" outlineLevel="0" collapsed="false">
      <c r="A7" s="23" t="s">
        <v>125</v>
      </c>
      <c r="B7" s="24" t="n">
        <v>1</v>
      </c>
      <c r="C7" s="24" t="s">
        <v>43</v>
      </c>
      <c r="D7" s="25" t="n">
        <v>500</v>
      </c>
      <c r="E7" s="25" t="n">
        <f aca="false">B7*D7</f>
        <v>500</v>
      </c>
      <c r="F7" s="25" t="n">
        <f aca="false">B7*1500</f>
        <v>1500</v>
      </c>
      <c r="G7" s="26" t="s">
        <v>126</v>
      </c>
    </row>
    <row r="8" customFormat="false" ht="15" hidden="false" customHeight="false" outlineLevel="0" collapsed="false">
      <c r="A8" s="23" t="s">
        <v>127</v>
      </c>
      <c r="B8" s="24" t="n">
        <v>1100</v>
      </c>
      <c r="C8" s="24" t="s">
        <v>52</v>
      </c>
      <c r="D8" s="25" t="n">
        <v>0.4</v>
      </c>
      <c r="E8" s="25" t="n">
        <f aca="false">B8*D8</f>
        <v>440</v>
      </c>
      <c r="F8" s="25" t="n">
        <f aca="false">B8*2</f>
        <v>2200</v>
      </c>
      <c r="G8" s="26" t="s">
        <v>124</v>
      </c>
    </row>
    <row r="9" customFormat="false" ht="15" hidden="false" customHeight="false" outlineLevel="0" collapsed="false">
      <c r="A9" s="23" t="s">
        <v>128</v>
      </c>
      <c r="B9" s="24" t="n">
        <v>1</v>
      </c>
      <c r="C9" s="24" t="s">
        <v>43</v>
      </c>
      <c r="D9" s="25" t="n">
        <v>600</v>
      </c>
      <c r="E9" s="25" t="n">
        <f aca="false">B9*D9</f>
        <v>600</v>
      </c>
      <c r="F9" s="25" t="n">
        <f aca="false">B9*0</f>
        <v>0</v>
      </c>
      <c r="G9" s="26" t="s">
        <v>50</v>
      </c>
    </row>
    <row r="10" customFormat="false" ht="15" hidden="false" customHeight="false" outlineLevel="0" collapsed="false">
      <c r="A10" s="23" t="s">
        <v>129</v>
      </c>
      <c r="B10" s="24" t="n">
        <v>1</v>
      </c>
      <c r="C10" s="24" t="s">
        <v>43</v>
      </c>
      <c r="D10" s="25" t="n">
        <v>0</v>
      </c>
      <c r="E10" s="25" t="n">
        <f aca="false">B10*D10</f>
        <v>0</v>
      </c>
      <c r="F10" s="25" t="n">
        <f aca="false">B10*700</f>
        <v>700</v>
      </c>
      <c r="G10" s="26" t="s">
        <v>122</v>
      </c>
    </row>
    <row r="11" customFormat="false" ht="15" hidden="false" customHeight="false" outlineLevel="0" collapsed="false">
      <c r="A11" s="7" t="s">
        <v>71</v>
      </c>
      <c r="B11" s="27"/>
      <c r="C11" s="27"/>
      <c r="D11" s="27"/>
      <c r="E11" s="8" t="n">
        <f aca="false">SUM(E5:E10)</f>
        <v>1540</v>
      </c>
      <c r="F11" s="8" t="n">
        <f aca="false">SUM(F5:F10)</f>
        <v>7400</v>
      </c>
      <c r="G11" s="27"/>
    </row>
    <row r="12" customFormat="false" ht="15" hidden="false" customHeight="false" outlineLevel="0" collapsed="false">
      <c r="A12" s="28" t="s">
        <v>72</v>
      </c>
      <c r="B12" s="12"/>
      <c r="C12" s="12"/>
      <c r="D12" s="12"/>
      <c r="E12" s="29" t="n">
        <f aca="false">E11+F11</f>
        <v>8940</v>
      </c>
      <c r="F12" s="29"/>
      <c r="G12" s="12"/>
    </row>
  </sheetData>
  <mergeCells count="2">
    <mergeCell ref="A1:G1"/>
    <mergeCell ref="E12:F12"/>
  </mergeCells>
  <hyperlinks>
    <hyperlink ref="G5" r:id="rId1" display="Town of Brattleboro – Permits"/>
    <hyperlink ref="G6" r:id="rId2" display="Angi – Popcorn Ceiling Removal Cost"/>
    <hyperlink ref="G7" r:id="rId3" display="ZipRecruiter – VT Electrician Rate"/>
    <hyperlink ref="G8" r:id="rId4" display="Angi – Popcorn Ceiling Removal Cost"/>
    <hyperlink ref="G9" r:id="rId5" display="Home Depot – Dimensional Lumber &amp; Trim"/>
    <hyperlink ref="G10" r:id="rId6" display="Town of Brattleboro – Permi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2026-06-11T12:48:58Z</dcterms:created>
  <dc:creator>openpyxl</dc:creator>
  <dc:description/>
  <dc:language>en-US</dc:language>
  <cp:lastModifiedBy/>
  <dcterms:modified xsi:type="dcterms:W3CDTF">2026-06-11T12:48:58Z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